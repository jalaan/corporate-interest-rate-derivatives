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drawings/charts/chart4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b65bb5900743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ab2514e8ecb94f60"/>
    <x:sheet xmlns:r="http://schemas.openxmlformats.org/officeDocument/2006/relationships" name="Assumptions" sheetId="2" r:id="Rf8b94c65d3ac4c45"/>
    <x:sheet xmlns:r="http://schemas.openxmlformats.org/officeDocument/2006/relationships" name="Market Data" sheetId="3" r:id="R79d865c5bb244d1b"/>
    <x:sheet xmlns:r="http://schemas.openxmlformats.org/officeDocument/2006/relationships" name="Quarterly Model" sheetId="4" r:id="R36f90e410f09425a"/>
    <x:sheet xmlns:r="http://schemas.openxmlformats.org/officeDocument/2006/relationships" name="Scenario Analysis" sheetId="5" r:id="R72d56e72b9904f1a"/>
    <x:sheet xmlns:r="http://schemas.openxmlformats.org/officeDocument/2006/relationships" name="Risk &amp; Credit" sheetId="6" r:id="R22ff01b137384e2f"/>
    <x:sheet xmlns:r="http://schemas.openxmlformats.org/officeDocument/2006/relationships" name="Sources" sheetId="7" r:id="Rde041b195f2e49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$#,##0.0;[Red]($#,##0.0);-"/>
    <x:numFmt numFmtId="201" formatCode="0.0x"/>
    <x:numFmt numFmtId="202" formatCode="0.00%;[Red](0.00%);-"/>
    <x:numFmt numFmtId="203" formatCode="0.00%"/>
    <x:numFmt numFmtId="204" formatCode="$#,##0.000;[Red]($#,##0.000);-"/>
    <x:numFmt numFmtId="205" formatCode="0%"/>
    <x:numFmt numFmtId="206" formatCode="$#,##0.0"/>
  </x:numFmts>
  <x:fonts count="9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b/>
      <x:sz val="11"/>
      <x:name val="Carlito"/>
    </x:font>
    <x:font>
      <x:b/>
      <x:sz val="11"/>
      <x:color rgb="FF000000"/>
      <x:name val="Carlito"/>
    </x:font>
    <x:font>
      <x:b/>
      <x:sz val="12"/>
      <x:color rgb="FF0B1F3A"/>
      <x:name val="Carlito"/>
    </x:font>
    <x:font>
      <x:sz val="11"/>
      <x:color rgb="FF008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132A46"/>
      </x:patternFill>
    </x:fill>
    <x:fill>
      <x:patternFill patternType="solid">
        <x:fgColor rgb="FF1F4E78"/>
      </x:patternFill>
    </x:fill>
  </x:fills>
  <x:borders count="4">
    <x:border/>
    <x:border/>
    <x:border>
      <x:top style="thin">
        <x:color rgb="FF000000"/>
      </x:top>
    </x:border>
    <x:border>
      <x:top style="thin">
        <x:color rgb="FF000000"/>
      </x:top>
    </x:border>
  </x:borders>
  <x:cellStyleXfs count="1">
    <x:xf numFmtId="0" fontId="0" fillId="0" borderId="0"/>
  </x:cellStyleXfs>
  <x:cellXfs count="10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2" fillId="4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3" fillId="0" borderId="0" xfId="0" applyNumberFormat="1" applyFont="1" applyFill="1" applyBorder="1"/>
    <x:xf numFmtId="200" fontId="3" fillId="0" borderId="1" xfId="0" applyNumberFormat="1" applyFont="1" applyFill="1" applyBorder="1"/>
    <x:xf numFmtId="201" fontId="3" fillId="0" borderId="0" xfId="0" applyNumberFormat="1" applyFont="1" applyFill="1" applyBorder="1"/>
    <x:xf numFmtId="201" fontId="3" fillId="0" borderId="1" xfId="0" applyNumberFormat="1" applyFont="1" applyFill="1" applyBorder="1"/>
    <x:xf numFmtId="202" fontId="3" fillId="0" borderId="0" xfId="0" applyNumberFormat="1" applyFont="1" applyFill="1" applyBorder="1"/>
    <x:xf numFmtId="202" fontId="4" fillId="0" borderId="0" xfId="0" applyNumberFormat="1" applyFont="1" applyFill="1" applyBorder="1"/>
    <x:xf numFmtId="202" fontId="3" fillId="0" borderId="1" xfId="0" applyNumberFormat="1" applyFont="1" applyFill="1" applyBorder="1"/>
    <x:xf numFmtId="202" fontId="4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wrapText="1"/>
    </x:xf>
    <x:xf numFmtId="201" fontId="3" fillId="0" borderId="0" xfId="0" applyNumberFormat="1" applyFont="1" applyFill="1" applyBorder="1" applyAlignment="1">
      <x:alignment wrapText="1"/>
    </x:xf>
    <x:xf numFmtId="202" fontId="3" fillId="0" borderId="0" xfId="0" applyNumberFormat="1" applyFont="1" applyFill="1" applyBorder="1" applyAlignment="1">
      <x:alignment wrapText="1"/>
    </x:xf>
    <x:xf numFmtId="202" fontId="4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3" fillId="0" borderId="1" xfId="0" applyNumberFormat="1" applyFont="1" applyFill="1" applyBorder="1" applyAlignment="1">
      <x:alignment wrapText="1"/>
    </x:xf>
    <x:xf numFmtId="201" fontId="3" fillId="0" borderId="1" xfId="0" applyNumberFormat="1" applyFont="1" applyFill="1" applyBorder="1" applyAlignment="1">
      <x:alignment wrapText="1"/>
    </x:xf>
    <x:xf numFmtId="202" fontId="3" fillId="0" borderId="1" xfId="0" applyNumberFormat="1" applyFont="1" applyFill="1" applyBorder="1" applyAlignment="1">
      <x:alignment wrapText="1"/>
    </x:xf>
    <x:xf numFmtId="202" fontId="4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203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203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5" fillId="0" borderId="2" xfId="0" applyNumberFormat="1" applyFont="1" applyFill="1" applyBorder="1"/>
    <x:xf numFmtId="0" fontId="5" fillId="0" borderId="3" xfId="0" applyNumberFormat="1" applyFont="1" applyFill="1" applyBorder="1"/>
    <x:xf numFmtId="200" fontId="5" fillId="0" borderId="2" xfId="0" applyNumberFormat="1" applyFont="1" applyFill="1" applyBorder="1"/>
    <x:xf numFmtId="200" fontId="5" fillId="0" borderId="3" xfId="0" applyNumberFormat="1" applyFont="1" applyFill="1" applyBorder="1"/>
    <x:xf numFmtId="203" fontId="3" fillId="0" borderId="0" xfId="0" applyNumberFormat="1" applyFont="1" applyFill="1" applyBorder="1"/>
    <x:xf numFmtId="203" fontId="3" fillId="0" borderId="1" xfId="0" applyNumberFormat="1" applyFont="1" applyFill="1" applyBorder="1"/>
    <x:xf numFmtId="200" fontId="4" fillId="0" borderId="0" xfId="0" applyNumberFormat="1" applyFont="1" applyFill="1" applyBorder="1"/>
    <x:xf numFmtId="200" fontId="6" fillId="0" borderId="2" xfId="0" applyNumberFormat="1" applyFont="1" applyFill="1" applyBorder="1"/>
    <x:xf numFmtId="200" fontId="4" fillId="0" borderId="1" xfId="0" applyNumberFormat="1" applyFont="1" applyFill="1" applyBorder="1"/>
    <x:xf numFmtId="200" fontId="6" fillId="0" borderId="3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4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5" fontId="0" fillId="0" borderId="0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5" fontId="0" fillId="0" borderId="1" xfId="0" applyNumberFormat="1" applyFont="1" applyFill="1" applyBorder="1" applyAlignment="1">
      <x:alignment wrapText="1"/>
    </x:xf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wrapText="1"/>
    </x:xf>
    <x:xf numFmtId="206" fontId="0" fillId="0" borderId="0" xfId="0" applyNumberFormat="1" applyFont="1" applyFill="1" applyBorder="1" applyAlignment="1">
      <x:alignment wrapText="1"/>
    </x:xf>
    <x:xf numFmtId="206" fontId="0" fillId="0" borderId="1" xfId="0" applyNumberFormat="1" applyFont="1" applyFill="1" applyBorder="1" applyAlignment="1">
      <x:alignment wrapText="1"/>
    </x:xf>
    <x:xf numFmtId="206" fontId="4" fillId="0" borderId="0" xfId="0" applyNumberFormat="1" applyFont="1" applyFill="1" applyBorder="1" applyAlignment="1">
      <x:alignment wrapText="1"/>
    </x:xf>
    <x:xf numFmtId="203" fontId="4" fillId="0" borderId="0" xfId="0" applyNumberFormat="1" applyFont="1" applyFill="1" applyBorder="1" applyAlignment="1">
      <x:alignment wrapText="1"/>
    </x:xf>
    <x:xf numFmtId="206" fontId="4" fillId="0" borderId="1" xfId="0" applyNumberFormat="1" applyFont="1" applyFill="1" applyBorder="1" applyAlignment="1">
      <x:alignment wrapText="1"/>
    </x:xf>
    <x:xf numFmtId="203" fontId="4" fillId="0" borderId="1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  <x:xf numFmtId="201" fontId="4" fillId="0" borderId="0" xfId="0" applyNumberFormat="1" applyFont="1" applyFill="1" applyBorder="1" applyAlignment="1">
      <x:alignment wrapText="1"/>
    </x:xf>
    <x:xf numFmtId="200" fontId="4" fillId="0" borderId="1" xfId="0" applyNumberFormat="1" applyFont="1" applyFill="1" applyBorder="1" applyAlignment="1">
      <x:alignment wrapText="1"/>
    </x:xf>
    <x:xf numFmtId="201" fontId="4" fillId="0" borderId="1" xfId="0" applyNumberFormat="1" applyFont="1" applyFill="1" applyBorder="1" applyAlignment="1">
      <x:alignment wrapText="1"/>
    </x:xf>
    <x:xf numFmtId="201" fontId="4" fillId="0" borderId="0" xfId="0" applyNumberFormat="1" applyFont="1" applyFill="1" applyBorder="1"/>
    <x:xf numFmtId="201" fontId="4" fillId="0" borderId="1" xfId="0" applyNumberFormat="1" applyFont="1" applyFill="1" applyBorder="1"/>
    <x:xf numFmtId="200" fontId="8" fillId="0" borderId="0" xfId="0" applyNumberFormat="1" applyFont="1" applyFill="1" applyBorder="1" applyAlignment="1">
      <x:alignment wrapText="1"/>
    </x:xf>
    <x:xf numFmtId="204" fontId="8" fillId="0" borderId="0" xfId="0" applyNumberFormat="1" applyFont="1" applyFill="1" applyBorder="1" applyAlignment="1">
      <x:alignment wrapText="1"/>
    </x:xf>
    <x:xf numFmtId="201" fontId="8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775e1257784bcb" /><Relationship Type="http://schemas.openxmlformats.org/officeDocument/2006/relationships/theme" Target="/xl/theme/theme1.xml" Id="R293e13a3e53b4d64" /><Relationship Type="http://schemas.openxmlformats.org/officeDocument/2006/relationships/sharedStrings" Target="/xl/sharedStrings.xml" Id="R05771dec2bc54b47" /><Relationship Type="http://schemas.openxmlformats.org/officeDocument/2006/relationships/worksheet" Target="/xl/worksheets/sheet1.xml" Id="Rab2514e8ecb94f60" /><Relationship Type="http://schemas.openxmlformats.org/officeDocument/2006/relationships/worksheet" Target="/xl/worksheets/sheet2.xml" Id="Rf8b94c65d3ac4c45" /><Relationship Type="http://schemas.openxmlformats.org/officeDocument/2006/relationships/worksheet" Target="/xl/worksheets/sheet3.xml" Id="R79d865c5bb244d1b" /><Relationship Type="http://schemas.openxmlformats.org/officeDocument/2006/relationships/worksheet" Target="/xl/worksheets/sheet4.xml" Id="R36f90e410f09425a" /><Relationship Type="http://schemas.openxmlformats.org/officeDocument/2006/relationships/worksheet" Target="/xl/worksheets/sheet5.xml" Id="R72d56e72b9904f1a" /><Relationship Type="http://schemas.openxmlformats.org/officeDocument/2006/relationships/worksheet" Target="/xl/worksheets/sheet6.xml" Id="R22ff01b137384e2f" /><Relationship Type="http://schemas.openxmlformats.org/officeDocument/2006/relationships/worksheet" Target="/xl/worksheets/sheet7.xml" Id="Rde041b195f2e491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317d6482c7d420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a283defd7631479e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626fd84e04aa4332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a75f145aa22148b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Annual Interest Expense vs SOFR</a:t>
            </a:r>
          </a:p>
        </c:rich>
      </c:tx>
    </c:title>
    <c:plotArea>
      <c:lineChart>
        <c:grouping val="standard"/>
        <c:ser>
          <c:idx val="0"/>
          <c:order val="0"/>
          <c:tx>
            <c:v>Unhedged ($mm)</c:v>
          </c:tx>
          <c:marker>
            <c:symbol val="none"/>
          </c:marker>
          <c:cat>
            <c:strRef>
              <c:f>'Scenario Analysis'!$A$5:$A$13</c:f>
              <c:strCache>
                <c:ptCount val="0"/>
              </c:strCache>
            </c:strRef>
          </c:cat>
          <c:val>
            <c:numRef>
              <c:f>'Scenario Analysis'!$B$5:$B$13</c:f>
              <c:numCache>
                <c:formatCode>$#,##0.0;[Red]($#,##0.0);-</c:formatCode>
                <c:ptCount val="0"/>
              </c:numCache>
            </c:numRef>
          </c:val>
        </c:ser>
        <c:ser>
          <c:idx val="1"/>
          <c:order val="1"/>
          <c:tx>
            <c:v>75% Swap ($mm)</c:v>
          </c:tx>
          <c:marker>
            <c:symbol val="none"/>
          </c:marker>
          <c:cat>
            <c:strRef>
              <c:f>'Scenario Analysis'!$A$5:$A$13</c:f>
              <c:strCache>
                <c:ptCount val="0"/>
              </c:strCache>
            </c:strRef>
          </c:cat>
          <c:val>
            <c:numRef>
              <c:f>'Scenario Analysis'!$C$5:$C$13</c:f>
              <c:numCache>
                <c:formatCode>$#,##0.0;[Red]($#,##0.0);-</c:formatCode>
                <c:ptCount val="0"/>
              </c:numCache>
            </c:numRef>
          </c:val>
        </c:ser>
        <c:ser>
          <c:idx val="2"/>
          <c:order val="2"/>
          <c:tx>
            <c:v>75% Cap ($mm)</c:v>
          </c:tx>
          <c:marker>
            <c:symbol val="none"/>
          </c:marker>
          <c:cat>
            <c:strRef>
              <c:f>'Scenario Analysis'!$A$5:$A$13</c:f>
              <c:strCache>
                <c:ptCount val="0"/>
              </c:strCache>
            </c:strRef>
          </c:cat>
          <c:val>
            <c:numRef>
              <c:f>'Scenario Analysis'!$D$5:$D$13</c:f>
              <c:numCache>
                <c:formatCode>$#,##0.0;[Red]($#,##0.0);-</c:formatCode>
                <c:ptCount val="0"/>
              </c:numCache>
            </c:numRef>
          </c:val>
        </c:ser>
        <c:ser>
          <c:idx val="3"/>
          <c:order val="3"/>
          <c:tx>
            <c:v>Recommended Blend ($mm)</c:v>
          </c:tx>
          <c:marker>
            <c:symbol val="none"/>
          </c:marker>
          <c:cat>
            <c:strRef>
              <c:f>'Scenario Analysis'!$A$5:$A$13</c:f>
              <c:strCache>
                <c:ptCount val="0"/>
              </c:strCache>
            </c:strRef>
          </c:cat>
          <c:val>
            <c:numRef>
              <c:f>'Scenario Analysis'!$E$5:$E$13</c:f>
              <c:numCache>
                <c:formatCode>$#,##0.0;[Red]($#,##0.0);-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U.S. Treasury Par Yield Curve | 9/22/2026</a:t>
            </a:r>
          </a:p>
        </c:rich>
      </c:tx>
    </c:title>
    <c:plotArea>
      <c:lineChart>
        <c:grouping val="standard"/>
        <c:ser>
          <c:idx val="0"/>
          <c:order val="0"/>
          <c:tx>
            <c:v>Yield</c:v>
          </c:tx>
          <c:marker>
            <c:symbol val="none"/>
          </c:marker>
          <c:cat>
            <c:strRef>
              <c:f>'Market Data'!$A$5:$A$10</c:f>
              <c:strCache>
                <c:ptCount val="0"/>
              </c:strCache>
            </c:strRef>
          </c:cat>
          <c:val>
            <c:numRef>
              <c:f>'Market Data'!$B$5:$B$10</c:f>
              <c:numCache>
                <c:formatCode>0.00%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Quarterly Interest Expense by Strategy</a:t>
            </a:r>
          </a:p>
        </c:rich>
      </c:tx>
    </c:title>
    <c:plotArea>
      <c:lineChart>
        <c:grouping val="standard"/>
        <c:ser>
          <c:idx val="0"/>
          <c:order val="0"/>
          <c:tx>
            <c:v>SOFR</c:v>
          </c:tx>
          <c:marker>
            <c:symbol val="none"/>
          </c:marker>
          <c:cat>
            <c:strRef>
              <c:f>'Quarterly Model'!$A$5:$A$16</c:f>
              <c:strCache>
                <c:ptCount val="0"/>
              </c:strCache>
            </c:strRef>
          </c:cat>
          <c:val>
            <c:numRef>
              <c:f>'Quarterly Model'!$B$5:$B$16</c:f>
              <c:numCache>
                <c:formatCode>0.00%</c:formatCode>
                <c:ptCount val="0"/>
              </c:numCache>
            </c:numRef>
          </c:val>
        </c:ser>
        <c:ser>
          <c:idx val="1"/>
          <c:order val="1"/>
          <c:tx>
            <c:v>Unhedged ($mm)</c:v>
          </c:tx>
          <c:marker>
            <c:symbol val="none"/>
          </c:marker>
          <c:cat>
            <c:strRef>
              <c:f>'Quarterly Model'!$A$5:$A$16</c:f>
              <c:strCache>
                <c:ptCount val="0"/>
              </c:strCache>
            </c:strRef>
          </c:cat>
          <c:val>
            <c:numRef>
              <c:f>'Quarterly Model'!$C$5:$C$16</c:f>
              <c:numCache>
                <c:formatCode>$#,##0.0;[Red]($#,##0.0);-</c:formatCode>
                <c:ptCount val="0"/>
              </c:numCache>
            </c:numRef>
          </c:val>
        </c:ser>
        <c:ser>
          <c:idx val="2"/>
          <c:order val="2"/>
          <c:tx>
            <c:v>75% Swap ($mm)</c:v>
          </c:tx>
          <c:marker>
            <c:symbol val="none"/>
          </c:marker>
          <c:cat>
            <c:strRef>
              <c:f>'Quarterly Model'!$A$5:$A$16</c:f>
              <c:strCache>
                <c:ptCount val="0"/>
              </c:strCache>
            </c:strRef>
          </c:cat>
          <c:val>
            <c:numRef>
              <c:f>'Quarterly Model'!$D$5:$D$16</c:f>
              <c:numCache>
                <c:formatCode>$#,##0.0;[Red]($#,##0.0);-</c:formatCode>
                <c:ptCount val="0"/>
              </c:numCache>
            </c:numRef>
          </c:val>
        </c:ser>
        <c:ser>
          <c:idx val="3"/>
          <c:order val="3"/>
          <c:tx>
            <c:v>75% Cap ($mm)</c:v>
          </c:tx>
          <c:marker>
            <c:symbol val="none"/>
          </c:marker>
          <c:cat>
            <c:strRef>
              <c:f>'Quarterly Model'!$A$5:$A$16</c:f>
              <c:strCache>
                <c:ptCount val="0"/>
              </c:strCache>
            </c:strRef>
          </c:cat>
          <c:val>
            <c:numRef>
              <c:f>'Quarterly Model'!$E$5:$E$16</c:f>
              <c:numCache>
                <c:formatCode>$#,##0.0;[Red]($#,##0.0);-</c:formatCode>
                <c:ptCount val="0"/>
              </c:numCache>
            </c:numRef>
          </c:val>
        </c:ser>
        <c:ser>
          <c:idx val="4"/>
          <c:order val="4"/>
          <c:tx>
            <c:v>Recommended Blend ($mm)</c:v>
          </c:tx>
          <c:marker>
            <c:symbol val="none"/>
          </c:marker>
          <c:cat>
            <c:strRef>
              <c:f>'Quarterly Model'!$A$5:$A$16</c:f>
              <c:strCache>
                <c:ptCount val="0"/>
              </c:strCache>
            </c:strRef>
          </c:cat>
          <c:val>
            <c:numRef>
              <c:f>'Quarterly Model'!$F$5:$F$16</c:f>
              <c:numCache>
                <c:formatCode>$#,##0.0;[Red]($#,##0.0);-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Annual Interest Expense vs SOFR</a:t>
            </a:r>
          </a:p>
        </c:rich>
      </c:tx>
    </c:title>
    <c:plotArea>
      <c:lineChart>
        <c:grouping val="standard"/>
        <c:ser>
          <c:idx val="0"/>
          <c:order val="0"/>
          <c:tx>
            <c:v>Unhedged ($mm)</c:v>
          </c:tx>
          <c:marker>
            <c:symbol val="none"/>
          </c:marker>
          <c:cat>
            <c:strRef>
              <c:f>'Scenario Analysis'!$A$5:$A$13</c:f>
              <c:strCache>
                <c:ptCount val="0"/>
              </c:strCache>
            </c:strRef>
          </c:cat>
          <c:val>
            <c:numRef>
              <c:f>'Scenario Analysis'!$B$5:$B$13</c:f>
              <c:numCache>
                <c:formatCode>$#,##0.0;[Red]($#,##0.0);-</c:formatCode>
                <c:ptCount val="0"/>
              </c:numCache>
            </c:numRef>
          </c:val>
        </c:ser>
        <c:ser>
          <c:idx val="1"/>
          <c:order val="1"/>
          <c:tx>
            <c:v>75% Swap ($mm)</c:v>
          </c:tx>
          <c:marker>
            <c:symbol val="none"/>
          </c:marker>
          <c:cat>
            <c:strRef>
              <c:f>'Scenario Analysis'!$A$5:$A$13</c:f>
              <c:strCache>
                <c:ptCount val="0"/>
              </c:strCache>
            </c:strRef>
          </c:cat>
          <c:val>
            <c:numRef>
              <c:f>'Scenario Analysis'!$C$5:$C$13</c:f>
              <c:numCache>
                <c:formatCode>$#,##0.0;[Red]($#,##0.0);-</c:formatCode>
                <c:ptCount val="0"/>
              </c:numCache>
            </c:numRef>
          </c:val>
        </c:ser>
        <c:ser>
          <c:idx val="2"/>
          <c:order val="2"/>
          <c:tx>
            <c:v>75% Cap ($mm)</c:v>
          </c:tx>
          <c:marker>
            <c:symbol val="none"/>
          </c:marker>
          <c:cat>
            <c:strRef>
              <c:f>'Scenario Analysis'!$A$5:$A$13</c:f>
              <c:strCache>
                <c:ptCount val="0"/>
              </c:strCache>
            </c:strRef>
          </c:cat>
          <c:val>
            <c:numRef>
              <c:f>'Scenario Analysis'!$D$5:$D$13</c:f>
              <c:numCache>
                <c:formatCode>$#,##0.0;[Red]($#,##0.0);-</c:formatCode>
                <c:ptCount val="0"/>
              </c:numCache>
            </c:numRef>
          </c:val>
        </c:ser>
        <c:ser>
          <c:idx val="3"/>
          <c:order val="3"/>
          <c:tx>
            <c:v>Recommended Blend ($mm)</c:v>
          </c:tx>
          <c:marker>
            <c:symbol val="none"/>
          </c:marker>
          <c:cat>
            <c:strRef>
              <c:f>'Scenario Analysis'!$A$5:$A$13</c:f>
              <c:strCache>
                <c:ptCount val="0"/>
              </c:strCache>
            </c:strRef>
          </c:cat>
          <c:val>
            <c:numRef>
              <c:f>'Scenario Analysis'!$E$5:$E$13</c:f>
              <c:numCache>
                <c:formatCode>$#,##0.0;[Red]($#,##0.0);-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18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317d6482c7d420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14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283defd7631479e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11</xdr:col>
      <xdr:colOff>0</xdr:colOff>
      <xdr:row>2</xdr:row>
      <xdr:rowOff>0</xdr:rowOff>
    </xdr:from>
    <xdr:to>
      <xdr:col>20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26fd84e04aa433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18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75f145aa22148b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1366a1c879f414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3a3d920fcc9c4df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5f0edaf8ed7844b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0f356dc51de04e89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22" hidden="0" customWidth="1"/>
    <x:col min="6" max="6" width="24" hidden="0" customWidth="1"/>
    <x:col min="7" max="7" width="14" hidden="0" customWidth="1"/>
    <x:col min="8" max="8" width="14" hidden="0" customWidth="1"/>
  </x:cols>
  <x:sheetData>
    <x:row r="1">
      <x:c r="A1" s="56" t="str">
        <x:v>Corporate Derivatives Marketing | Executive Hedge Recommendation</x:v>
      </x:c>
      <x:c r="B1" s="56"/>
      <x:c r="C1" s="56"/>
      <x:c r="D1" s="56"/>
      <x:c r="E1" s="56"/>
      <x:c r="F1" s="56"/>
      <x:c r="G1" s="56"/>
      <x:c r="H1" s="56"/>
    </x:row>
    <x:row r="2">
      <x:c r="A2" s="41"/>
      <x:c r="B2" s="41"/>
      <x:c r="C2" s="41"/>
      <x:c r="D2" s="41"/>
      <x:c r="E2" s="41"/>
      <x:c r="F2" s="41"/>
      <x:c r="G2" s="41"/>
      <x:c r="H2" s="41"/>
    </x:row>
    <x:row r="3">
      <x:c r="A3" s="57" t="str">
        <x:v>Client: Northstar Components, Inc. | Synthetic portfolio case</x:v>
      </x:c>
      <x:c r="B3" s="57"/>
      <x:c r="C3" s="57"/>
      <x:c r="D3" s="57"/>
      <x:c r="E3" s="57"/>
      <x:c r="F3" s="57"/>
      <x:c r="G3" s="57"/>
      <x:c r="H3" s="57"/>
    </x:row>
    <x:row r="4">
      <x:c r="A4" s="41"/>
      <x:c r="B4" s="41"/>
      <x:c r="C4" s="41"/>
      <x:c r="D4" s="41"/>
      <x:c r="E4" s="41"/>
      <x:c r="F4" s="41"/>
      <x:c r="G4" s="41"/>
      <x:c r="H4" s="41"/>
    </x:row>
    <x:row r="5">
      <x:c r="A5" s="40" t="str">
        <x:v>Key Metric</x:v>
      </x:c>
      <x:c r="B5" s="40" t="str">
        <x:v>Value</x:v>
      </x:c>
      <x:c r="C5" s="41"/>
      <x:c r="D5" s="40" t="str">
        <x:v>Recommendation</x:v>
      </x:c>
      <x:c r="E5" s="40"/>
      <x:c r="F5" s="40"/>
      <x:c r="G5" s="40"/>
      <x:c r="H5" s="40"/>
    </x:row>
    <x:row r="6">
      <x:c r="A6" s="41" t="str">
        <x:v>Floating debt ($mm)</x:v>
      </x:c>
      <x:c r="B6" s="92" t="n">
        <x:f>'Assumptions'!B6</x:f>
        <x:v>500</x:v>
      </x:c>
      <x:c r="C6" s="41"/>
      <x:c r="D6" s="88" t="str">
        <x:v>Execute a staged 75% hedge: 50% pay-fixed / receive-SOFR swap + 25% SOFR cap, leaving 25% floating. This balances budget protection with participation if rates decline.</x:v>
      </x:c>
      <x:c r="E6" s="88"/>
      <x:c r="F6" s="88"/>
      <x:c r="G6" s="88"/>
      <x:c r="H6" s="88"/>
    </x:row>
    <x:row r="7">
      <x:c r="A7" s="41" t="str">
        <x:v>Base SOFR</x:v>
      </x:c>
      <x:c r="B7" s="93" t="n">
        <x:f>'Assumptions'!B9</x:f>
        <x:v>0.039</x:v>
      </x:c>
      <x:c r="C7" s="41"/>
      <x:c r="D7" s="88"/>
      <x:c r="E7" s="88"/>
      <x:c r="F7" s="88"/>
      <x:c r="G7" s="88"/>
      <x:c r="H7" s="88"/>
    </x:row>
    <x:row r="8">
      <x:c r="A8" s="41" t="str">
        <x:v>Current annual interest ($mm)</x:v>
      </x:c>
      <x:c r="B8" s="92" t="n">
        <x:f>'Scenario Analysis'!B8</x:f>
        <x:v>28.25</x:v>
      </x:c>
      <x:c r="C8" s="41"/>
      <x:c r="D8" s="88"/>
      <x:c r="E8" s="88"/>
      <x:c r="F8" s="88"/>
      <x:c r="G8" s="88"/>
      <x:c r="H8" s="88"/>
    </x:row>
    <x:row r="9">
      <x:c r="A9" s="41" t="str">
        <x:v>Interest budget ceiling ($mm)</x:v>
      </x:c>
      <x:c r="B9" s="92" t="n">
        <x:f>'Assumptions'!B18</x:f>
        <x:v>34</x:v>
      </x:c>
      <x:c r="C9" s="41"/>
      <x:c r="D9" s="41"/>
      <x:c r="E9" s="41"/>
      <x:c r="F9" s="41"/>
      <x:c r="G9" s="41"/>
      <x:c r="H9" s="41"/>
    </x:row>
    <x:row r="10">
      <x:c r="A10" s="41"/>
      <x:c r="B10" s="41"/>
      <x:c r="C10" s="41"/>
      <x:c r="D10" s="41"/>
      <x:c r="E10" s="41"/>
      <x:c r="F10" s="41"/>
      <x:c r="G10" s="41"/>
      <x:c r="H10" s="41"/>
    </x:row>
    <x:row r="11">
      <x:c r="A11" s="57" t="str">
        <x:v>Decision Metrics</x:v>
      </x:c>
      <x:c r="B11" s="57"/>
      <x:c r="C11" s="57"/>
      <x:c r="D11" s="57"/>
      <x:c r="E11" s="57"/>
      <x:c r="F11" s="57"/>
      <x:c r="G11" s="57"/>
      <x:c r="H11" s="57"/>
    </x:row>
    <x:row r="12">
      <x:c r="A12" s="40" t="str">
        <x:v>Metric</x:v>
      </x:c>
      <x:c r="B12" s="40" t="str">
        <x:v>Unhedged</x:v>
      </x:c>
      <x:c r="C12" s="40" t="str">
        <x:v>75% Swap</x:v>
      </x:c>
      <x:c r="D12" s="40" t="str">
        <x:v>75% Cap</x:v>
      </x:c>
      <x:c r="E12" s="40" t="str">
        <x:v>Recommended Blend</x:v>
      </x:c>
      <x:c r="F12" s="40" t="str">
        <x:v>Why it matters</x:v>
      </x:c>
      <x:c r="G12" s="40" t="str"/>
      <x:c r="H12" s="40" t="str"/>
    </x:row>
    <x:row r="13">
      <x:c r="A13" s="41" t="str">
        <x:v>Interest @ 3.90% SOFR</x:v>
      </x:c>
      <x:c r="B13" s="96" t="n">
        <x:f>'Risk &amp; Credit'!B5</x:f>
        <x:v>28.25</x:v>
      </x:c>
      <x:c r="C13" s="96" t="n">
        <x:f>'Risk &amp; Credit'!C5</x:f>
        <x:v>30.125</x:v>
      </x:c>
      <x:c r="D13" s="96" t="n">
        <x:f>'Risk &amp; Credit'!D5</x:f>
        <x:v>29.9375</x:v>
      </x:c>
      <x:c r="E13" s="96" t="n">
        <x:f>'Risk &amp; Credit'!E5</x:f>
        <x:v>30.0625</x:v>
      </x:c>
      <x:c r="F13" s="41" t="str">
        <x:v>Current carry</x:v>
      </x:c>
      <x:c r="G13" s="41" t="str"/>
      <x:c r="H13" s="41" t="str"/>
    </x:row>
    <x:row r="14">
      <x:c r="A14" s="41" t="str">
        <x:v>Interest @ 6.00% SOFR</x:v>
      </x:c>
      <x:c r="B14" s="96" t="n">
        <x:f>'Risk &amp; Credit'!B7</x:f>
        <x:v>38.75</x:v>
      </x:c>
      <x:c r="C14" s="96" t="n">
        <x:f>'Risk &amp; Credit'!C7</x:f>
        <x:v>32.75</x:v>
      </x:c>
      <x:c r="D14" s="96" t="n">
        <x:f>'Risk &amp; Credit'!D7</x:f>
        <x:v>33.875</x:v>
      </x:c>
      <x:c r="E14" s="96" t="n">
        <x:f>'Risk &amp; Credit'!E7</x:f>
        <x:v>33.125</x:v>
      </x:c>
      <x:c r="F14" s="41" t="str">
        <x:v>Stress protection</x:v>
      </x:c>
      <x:c r="G14" s="41" t="str"/>
      <x:c r="H14" s="41" t="str"/>
    </x:row>
    <x:row r="15">
      <x:c r="A15" s="41" t="str">
        <x:v>EBITDA interest coverage @ 6.00%</x:v>
      </x:c>
      <x:c r="B15" s="97" t="n">
        <x:f>'Risk &amp; Credit'!B8</x:f>
        <x:v>4.645161290322581</x:v>
      </x:c>
      <x:c r="C15" s="97" t="n">
        <x:f>'Risk &amp; Credit'!C8</x:f>
        <x:v>5.4961832061068705</x:v>
      </x:c>
      <x:c r="D15" s="97" t="n">
        <x:f>'Risk &amp; Credit'!D8</x:f>
        <x:v>5.313653136531365</x:v>
      </x:c>
      <x:c r="E15" s="97" t="n">
        <x:f>'Risk &amp; Credit'!E8</x:f>
        <x:v>5.433962264150943</x:v>
      </x:c>
      <x:c r="F15" s="41" t="str">
        <x:v>Credit resilience</x:v>
      </x:c>
      <x:c r="G15" s="41" t="str"/>
      <x:c r="H15" s="41" t="str"/>
    </x:row>
    <x:row r="16">
      <x:c r="A16" s="41" t="str">
        <x:v>Protected debt %</x:v>
      </x:c>
      <x:c r="B16" s="82" t="n">
        <x:v>0</x:v>
      </x:c>
      <x:c r="C16" s="82" t="n">
        <x:v>0.75</x:v>
      </x:c>
      <x:c r="D16" s="82" t="n">
        <x:v>0.75</x:v>
      </x:c>
      <x:c r="E16" s="82" t="n">
        <x:v>0.75</x:v>
      </x:c>
      <x:c r="F16" s="41" t="str">
        <x:v>Risk reduction</x:v>
      </x:c>
      <x:c r="G16" s="41" t="str"/>
      <x:c r="H16" s="41" t="str"/>
    </x:row>
    <x:row r="17">
      <x:c r="A17" s="41"/>
      <x:c r="B17" s="41"/>
      <x:c r="C17" s="41"/>
      <x:c r="D17" s="41"/>
      <x:c r="E17" s="41"/>
      <x:c r="F17" s="41"/>
      <x:c r="G17" s="41"/>
      <x:c r="H17" s="41"/>
    </x:row>
    <x:row r="18">
      <x:c r="A18" s="57" t="str">
        <x:v>Analyst Conclusion</x:v>
      </x:c>
      <x:c r="B18" s="57"/>
      <x:c r="C18" s="57"/>
      <x:c r="D18" s="57"/>
      <x:c r="E18" s="57"/>
      <x:c r="F18" s="57"/>
      <x:c r="G18" s="57"/>
      <x:c r="H18" s="57"/>
    </x:row>
    <x:row r="19">
      <x:c r="A19" s="41" t="str">
        <x:v>The recommended blend intentionally accepts higher current carry than remaining fully floating in exchange for material protection in a higher-rate scenario. At 6.00% SOFR, the blend keeps annual interest below the illustrative $34mm treasury ceiling while preserving 25% fully floating exposure and 25% capped exposure for downside participation. Final execution requires live dealer pricing, Credit approval, Legal documentation, and hedge-accounting review.</x:v>
      </x:c>
      <x:c r="B19" s="41"/>
      <x:c r="C19" s="41"/>
      <x:c r="D19" s="41"/>
      <x:c r="E19" s="41"/>
      <x:c r="F19" s="41"/>
      <x:c r="G19" s="41"/>
      <x:c r="H19" s="41"/>
    </x:row>
    <x:row r="20">
      <x:c r="A20" s="41"/>
      <x:c r="B20" s="41"/>
      <x:c r="C20" s="41"/>
      <x:c r="D20" s="41"/>
      <x:c r="E20" s="41"/>
      <x:c r="F20" s="41"/>
      <x:c r="G20" s="41"/>
      <x:c r="H20" s="41"/>
    </x:row>
    <x:row r="21">
      <x:c r="A21" s="41"/>
      <x:c r="B21" s="41"/>
      <x:c r="C21" s="41"/>
      <x:c r="D21" s="41"/>
      <x:c r="E21" s="41"/>
      <x:c r="F21" s="41"/>
      <x:c r="G21" s="41"/>
      <x:c r="H21" s="41"/>
    </x:row>
    <x:row r="22">
      <x:c r="A22" s="41"/>
      <x:c r="B22" s="41"/>
      <x:c r="C22" s="41"/>
      <x:c r="D22" s="41"/>
      <x:c r="E22" s="41"/>
      <x:c r="F22" s="41"/>
      <x:c r="G22" s="41"/>
      <x:c r="H22" s="41"/>
    </x:row>
    <x:row r="23">
      <x:c r="A23" s="41"/>
      <x:c r="B23" s="41"/>
      <x:c r="C23" s="41"/>
      <x:c r="D23" s="41"/>
      <x:c r="E23" s="41"/>
      <x:c r="F23" s="41"/>
      <x:c r="G23" s="41"/>
      <x:c r="H23" s="41"/>
    </x:row>
    <x:row r="24">
      <x:c r="A24" s="41"/>
      <x:c r="B24" s="41"/>
      <x:c r="C24" s="41"/>
      <x:c r="D24" s="41"/>
      <x:c r="E24" s="41"/>
      <x:c r="F24" s="41"/>
      <x:c r="G24" s="41"/>
      <x:c r="H24" s="41"/>
    </x:row>
    <x:row r="25">
      <x:c r="A25" s="41"/>
      <x:c r="B25" s="41"/>
      <x:c r="C25" s="41"/>
      <x:c r="D25" s="41"/>
      <x:c r="E25" s="41"/>
      <x:c r="F25" s="41"/>
      <x:c r="G25" s="41"/>
      <x:c r="H25" s="41"/>
    </x:row>
  </x:sheetData>
  <x:mergeCells>
    <x:mergeCell ref="A1:H1"/>
    <x:mergeCell ref="A3:H3"/>
    <x:mergeCell ref="D5:H5"/>
    <x:mergeCell ref="D6:H8"/>
    <x:mergeCell ref="A11:H11"/>
    <x:mergeCell ref="A18:H18"/>
    <x:mergeCell ref="A19:H21"/>
  </x:mergeCells>
  <x:pageMargins left="0.7" right="0.7" top="0.75" bottom="0.75" header="0.3" footer="0.3"/>
  <x:drawing xmlns:r="http://schemas.openxmlformats.org/officeDocument/2006/relationships" r:id="Rb1366a1c879f414c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16" hidden="0" customWidth="1"/>
    <x:col min="5" max="5" width="45" hidden="0" customWidth="1"/>
    <x:col min="6" max="6" width="12" hidden="0" customWidth="1"/>
  </x:cols>
  <x:sheetData>
    <x:row r="1" ht="28" customHeight="1">
      <x:c r="A1" s="5" t="str">
        <x:v>Corporate Interest-Rate Hedging Case | Assumptions</x:v>
      </x:c>
      <x:c r="B1" s="5"/>
      <x:c r="C1" s="5"/>
      <x:c r="D1" s="5"/>
      <x:c r="E1" s="5"/>
      <x:c r="F1" s="5"/>
    </x:row>
    <x:row r="2" ht="19" customHeight="1"/>
    <x:row r="3" ht="19" customHeight="1">
      <x:c r="A3" s="13" t="str">
        <x:v>Synthetic Client &amp; Debt Profile</x:v>
      </x:c>
      <x:c r="B3" s="13"/>
      <x:c r="C3" s="13"/>
      <x:c r="D3" s="13"/>
      <x:c r="E3" s="13"/>
      <x:c r="F3" s="13"/>
    </x:row>
    <x:row r="4" ht="19" customHeight="1">
      <x:c r="A4" s="40" t="str">
        <x:v>Parameter</x:v>
      </x:c>
      <x:c r="B4" s="40" t="str">
        <x:v>Value</x:v>
      </x:c>
      <x:c r="C4" s="40" t="str">
        <x:v>Units</x:v>
      </x:c>
      <x:c r="D4" s="40" t="str">
        <x:v>Type</x:v>
      </x:c>
      <x:c r="E4" s="40" t="str">
        <x:v>Source / Rationale</x:v>
      </x:c>
      <x:c r="F4" s="40" t="str">
        <x:v>Editable?</x:v>
      </x:c>
    </x:row>
    <x:row r="5" ht="19" customHeight="1">
      <x:c r="A5" s="41" t="str">
        <x:v>Client</x:v>
      </x:c>
      <x:c r="B5" s="41" t="str">
        <x:v>Northstar Components, Inc.</x:v>
      </x:c>
      <x:c r="C5" s="41" t="str"/>
      <x:c r="D5" s="41" t="str">
        <x:v>Synthetic</x:v>
      </x:c>
      <x:c r="E5" s="41" t="str">
        <x:v>Illustrative corporate client</x:v>
      </x:c>
      <x:c r="F5" s="41" t="str">
        <x:v>Yes</x:v>
      </x:c>
    </x:row>
    <x:row r="6" ht="19" customHeight="1">
      <x:c r="A6" s="41" t="str">
        <x:v>Floating-rate debt</x:v>
      </x:c>
      <x:c r="B6" s="42" t="n">
        <x:v>500</x:v>
      </x:c>
      <x:c r="C6" s="41" t="str">
        <x:v>$mm</x:v>
      </x:c>
      <x:c r="D6" s="41" t="str">
        <x:v>Input</x:v>
      </x:c>
      <x:c r="E6" s="41" t="str">
        <x:v>Synthetic case assumption</x:v>
      </x:c>
      <x:c r="F6" s="41" t="str">
        <x:v>Yes</x:v>
      </x:c>
    </x:row>
    <x:row r="7" ht="19" customHeight="1">
      <x:c r="A7" s="41" t="str">
        <x:v>Debt maturity</x:v>
      </x:c>
      <x:c r="B7" s="43" t="n">
        <x:v>3</x:v>
      </x:c>
      <x:c r="C7" s="41" t="str">
        <x:v>Years</x:v>
      </x:c>
      <x:c r="D7" s="41" t="str">
        <x:v>Input</x:v>
      </x:c>
      <x:c r="E7" s="41" t="str">
        <x:v>Synthetic case assumption</x:v>
      </x:c>
      <x:c r="F7" s="41" t="str">
        <x:v>Yes</x:v>
      </x:c>
    </x:row>
    <x:row r="8" ht="19" customHeight="1">
      <x:c r="A8" s="41" t="str">
        <x:v>Credit spread</x:v>
      </x:c>
      <x:c r="B8" s="44" t="n">
        <x:v>0.0175</x:v>
      </x:c>
      <x:c r="C8" s="41" t="str">
        <x:v>%</x:v>
      </x:c>
      <x:c r="D8" s="41" t="str">
        <x:v>Input</x:v>
      </x:c>
      <x:c r="E8" s="41" t="str">
        <x:v>Illustrative SOFR + 175 bps term loan</x:v>
      </x:c>
      <x:c r="F8" s="41" t="str">
        <x:v>Yes</x:v>
      </x:c>
    </x:row>
    <x:row r="9" ht="19" customHeight="1">
      <x:c r="A9" s="41" t="str">
        <x:v>Base SOFR</x:v>
      </x:c>
      <x:c r="B9" s="44" t="n">
        <x:v>0.039</x:v>
      </x:c>
      <x:c r="C9" s="41" t="str">
        <x:v>%</x:v>
      </x:c>
      <x:c r="D9" s="41" t="str">
        <x:v>Input</x:v>
      </x:c>
      <x:c r="E9" s="41" t="str">
        <x:v>Illustrative base reference rate; not a live quote</x:v>
      </x:c>
      <x:c r="F9" s="41" t="str">
        <x:v>Yes</x:v>
      </x:c>
    </x:row>
    <x:row r="10" ht="19" customHeight="1">
      <x:c r="A10" s="41" t="str">
        <x:v>Swap fixed rate</x:v>
      </x:c>
      <x:c r="B10" s="44" t="n">
        <x:v>0.044</x:v>
      </x:c>
      <x:c r="C10" s="41" t="str">
        <x:v>%</x:v>
      </x:c>
      <x:c r="D10" s="41" t="str">
        <x:v>Input</x:v>
      </x:c>
      <x:c r="E10" s="41" t="str">
        <x:v>Illustrative 3-year pay-fixed / receive-SOFR swap level</x:v>
      </x:c>
      <x:c r="F10" s="41" t="str">
        <x:v>Yes</x:v>
      </x:c>
    </x:row>
    <x:row r="11" ht="19" customHeight="1">
      <x:c r="A11" s="41" t="str">
        <x:v>Cap strike</x:v>
      </x:c>
      <x:c r="B11" s="44" t="n">
        <x:v>0.0425</x:v>
      </x:c>
      <x:c r="C11" s="41" t="str">
        <x:v>%</x:v>
      </x:c>
      <x:c r="D11" s="41" t="str">
        <x:v>Input</x:v>
      </x:c>
      <x:c r="E11" s="41" t="str">
        <x:v>Illustrative SOFR cap strike</x:v>
      </x:c>
      <x:c r="F11" s="41" t="str">
        <x:v>Yes</x:v>
      </x:c>
    </x:row>
    <x:row r="12" ht="19" customHeight="1">
      <x:c r="A12" s="41" t="str">
        <x:v>Cap annualized premium</x:v>
      </x:c>
      <x:c r="B12" s="44" t="n">
        <x:v>0.0045</x:v>
      </x:c>
      <x:c r="C12" s="41" t="str">
        <x:v>% of notional</x:v>
      </x:c>
      <x:c r="D12" s="41" t="str">
        <x:v>Input</x:v>
      </x:c>
      <x:c r="E12" s="41" t="str">
        <x:v>Illustrative annualized premium equivalent</x:v>
      </x:c>
      <x:c r="F12" s="41" t="str">
        <x:v>Yes</x:v>
      </x:c>
    </x:row>
    <x:row r="13" ht="19" customHeight="1">
      <x:c r="A13" s="41" t="str">
        <x:v>Swap hedge ratio</x:v>
      </x:c>
      <x:c r="B13" s="44" t="n">
        <x:v>0.5</x:v>
      </x:c>
      <x:c r="C13" s="41" t="str">
        <x:v>% of debt</x:v>
      </x:c>
      <x:c r="D13" s="41" t="str">
        <x:v>Input</x:v>
      </x:c>
      <x:c r="E13" s="41" t="str">
        <x:v>Recommended blend assumption</x:v>
      </x:c>
      <x:c r="F13" s="41" t="str">
        <x:v>Yes</x:v>
      </x:c>
    </x:row>
    <x:row r="14" ht="19" customHeight="1">
      <x:c r="A14" s="41" t="str">
        <x:v>Cap hedge ratio</x:v>
      </x:c>
      <x:c r="B14" s="44" t="n">
        <x:v>0.25</x:v>
      </x:c>
      <x:c r="C14" s="41" t="str">
        <x:v>% of debt</x:v>
      </x:c>
      <x:c r="D14" s="41" t="str">
        <x:v>Input</x:v>
      </x:c>
      <x:c r="E14" s="41" t="str">
        <x:v>Recommended blend assumption</x:v>
      </x:c>
      <x:c r="F14" s="41" t="str">
        <x:v>Yes</x:v>
      </x:c>
    </x:row>
    <x:row r="15" ht="19" customHeight="1">
      <x:c r="A15" s="41" t="str">
        <x:v>Residual floating ratio</x:v>
      </x:c>
      <x:c r="B15" s="45" t="n">
        <x:f>1-B13-B14</x:f>
        <x:v>0.25</x:v>
      </x:c>
      <x:c r="C15" s="41" t="str">
        <x:v>% of debt</x:v>
      </x:c>
      <x:c r="D15" s="41" t="str">
        <x:v>Formula</x:v>
      </x:c>
      <x:c r="E15" s="41" t="str">
        <x:v>1 - swap ratio - cap ratio</x:v>
      </x:c>
      <x:c r="F15" s="41" t="str">
        <x:v>No</x:v>
      </x:c>
    </x:row>
    <x:row r="16" ht="19" customHeight="1">
      <x:c r="A16" s="41" t="str">
        <x:v>Annual free cash flow</x:v>
      </x:c>
      <x:c r="B16" s="42" t="n">
        <x:v>90</x:v>
      </x:c>
      <x:c r="C16" s="41" t="str">
        <x:v>$mm</x:v>
      </x:c>
      <x:c r="D16" s="41" t="str">
        <x:v>Input</x:v>
      </x:c>
      <x:c r="E16" s="41" t="str">
        <x:v>Synthetic client assumption</x:v>
      </x:c>
      <x:c r="F16" s="41" t="str">
        <x:v>Yes</x:v>
      </x:c>
    </x:row>
    <x:row r="17" ht="19" customHeight="1">
      <x:c r="A17" s="41" t="str">
        <x:v>Annual EBITDA</x:v>
      </x:c>
      <x:c r="B17" s="42" t="n">
        <x:v>180</x:v>
      </x:c>
      <x:c r="C17" s="41" t="str">
        <x:v>$mm</x:v>
      </x:c>
      <x:c r="D17" s="41" t="str">
        <x:v>Input</x:v>
      </x:c>
      <x:c r="E17" s="41" t="str">
        <x:v>Synthetic client assumption</x:v>
      </x:c>
      <x:c r="F17" s="41" t="str">
        <x:v>Yes</x:v>
      </x:c>
    </x:row>
    <x:row r="18" ht="19" customHeight="1">
      <x:c r="A18" s="41" t="str">
        <x:v>Interest budget ceiling</x:v>
      </x:c>
      <x:c r="B18" s="46" t="n">
        <x:v>34</x:v>
      </x:c>
      <x:c r="C18" s="41" t="str">
        <x:v>$mm</x:v>
      </x:c>
      <x:c r="D18" s="41" t="str">
        <x:v>Input</x:v>
      </x:c>
      <x:c r="E18" s="41" t="str">
        <x:v>Illustrative treasury risk limit</x:v>
      </x:c>
      <x:c r="F18" s="41" t="str">
        <x:v>Yes</x:v>
      </x:c>
    </x:row>
  </x:sheetData>
  <x:mergeCells>
    <x:mergeCell ref="A1:F1"/>
    <x:mergeCell ref="A3:F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20" hidden="0" customWidth="1"/>
    <x:col min="4" max="4" width="32" hidden="0" customWidth="1"/>
    <x:col min="5" max="5" width="34" hidden="0" customWidth="1"/>
    <x:col min="6" max="6" width="18" hidden="0" customWidth="1"/>
  </x:cols>
  <x:sheetData>
    <x:row r="1">
      <x:c r="A1" s="56" t="str">
        <x:v>Market Snapshot | U.S. Rates Context</x:v>
      </x:c>
      <x:c r="B1" s="56"/>
      <x:c r="C1" s="56"/>
      <x:c r="D1" s="56"/>
      <x:c r="E1" s="56"/>
      <x:c r="F1" s="56"/>
    </x:row>
    <x:row r="2">
      <x:c r="A2" s="41"/>
      <x:c r="B2" s="41"/>
      <x:c r="C2" s="41"/>
      <x:c r="D2" s="41"/>
      <x:c r="E2" s="41"/>
      <x:c r="F2" s="41"/>
    </x:row>
    <x:row r="3">
      <x:c r="A3" s="57" t="str">
        <x:v>U.S. Treasury Par Yield Curve — September 22, 2026</x:v>
      </x:c>
      <x:c r="B3" s="57"/>
      <x:c r="C3" s="57"/>
      <x:c r="D3" s="57"/>
      <x:c r="E3" s="57"/>
      <x:c r="F3" s="57"/>
    </x:row>
    <x:row r="4">
      <x:c r="A4" s="40" t="str">
        <x:v>Tenor</x:v>
      </x:c>
      <x:c r="B4" s="40" t="str">
        <x:v>Yield</x:v>
      </x:c>
      <x:c r="C4" s="40" t="str">
        <x:v>Change vs 1Y</x:v>
      </x:c>
      <x:c r="D4" s="40" t="str">
        <x:v>Interpretation</x:v>
      </x:c>
      <x:c r="E4" s="40" t="str">
        <x:v>Source Date</x:v>
      </x:c>
      <x:c r="F4" s="40" t="str">
        <x:v>Source</x:v>
      </x:c>
    </x:row>
    <x:row r="5">
      <x:c r="A5" s="41" t="str">
        <x:v>1 Year</x:v>
      </x:c>
      <x:c r="B5" s="58" t="n">
        <x:v>0.0443</x:v>
      </x:c>
      <x:c r="C5" s="58" t="n">
        <x:v>0</x:v>
      </x:c>
      <x:c r="D5" s="41" t="str">
        <x:v>Short-end benchmark</x:v>
      </x:c>
      <x:c r="E5" s="41" t="str">
        <x:v>9/22/2026</x:v>
      </x:c>
      <x:c r="F5" s="41" t="str">
        <x:v>U.S. Treasury</x:v>
      </x:c>
    </x:row>
    <x:row r="6">
      <x:c r="A6" s="41" t="str">
        <x:v>2 Year</x:v>
      </x:c>
      <x:c r="B6" s="58" t="n">
        <x:v>0.0471</x:v>
      </x:c>
      <x:c r="C6" s="58" t="n">
        <x:v>0.0028</x:v>
      </x:c>
      <x:c r="D6" s="41" t="str">
        <x:v>Policy-sensitive point</x:v>
      </x:c>
      <x:c r="E6" s="41" t="str">
        <x:v>9/22/2026</x:v>
      </x:c>
      <x:c r="F6" s="41" t="str">
        <x:v>U.S. Treasury</x:v>
      </x:c>
    </x:row>
    <x:row r="7">
      <x:c r="A7" s="41" t="str">
        <x:v>3 Year</x:v>
      </x:c>
      <x:c r="B7" s="58" t="n">
        <x:v>0.0481</x:v>
      </x:c>
      <x:c r="C7" s="58" t="n">
        <x:v>0.0038</x:v>
      </x:c>
      <x:c r="D7" s="41" t="str">
        <x:v>Intermediate benchmark</x:v>
      </x:c>
      <x:c r="E7" s="41" t="str">
        <x:v>9/22/2026</x:v>
      </x:c>
      <x:c r="F7" s="41" t="str">
        <x:v>U.S. Treasury</x:v>
      </x:c>
    </x:row>
    <x:row r="8">
      <x:c r="A8" s="41" t="str">
        <x:v>5 Year</x:v>
      </x:c>
      <x:c r="B8" s="58" t="n">
        <x:v>0.0483</x:v>
      </x:c>
      <x:c r="C8" s="58" t="n">
        <x:v>0.004</x:v>
      </x:c>
      <x:c r="D8" s="41" t="str">
        <x:v>Intermediate benchmark</x:v>
      </x:c>
      <x:c r="E8" s="41" t="str">
        <x:v>9/22/2026</x:v>
      </x:c>
      <x:c r="F8" s="41" t="str">
        <x:v>U.S. Treasury</x:v>
      </x:c>
    </x:row>
    <x:row r="9">
      <x:c r="A9" s="41" t="str">
        <x:v>7 Year</x:v>
      </x:c>
      <x:c r="B9" s="58" t="n">
        <x:v>0.0489</x:v>
      </x:c>
      <x:c r="C9" s="58" t="n">
        <x:v>0.0046</x:v>
      </x:c>
      <x:c r="D9" s="41" t="str">
        <x:v>Longer-duration benchmark</x:v>
      </x:c>
      <x:c r="E9" s="41" t="str">
        <x:v>9/22/2026</x:v>
      </x:c>
      <x:c r="F9" s="41" t="str">
        <x:v>U.S. Treasury</x:v>
      </x:c>
    </x:row>
    <x:row r="10">
      <x:c r="A10" s="41" t="str">
        <x:v>10 Year</x:v>
      </x:c>
      <x:c r="B10" s="58" t="n">
        <x:v>0.0496</x:v>
      </x:c>
      <x:c r="C10" s="58" t="n">
        <x:v>0.0053</x:v>
      </x:c>
      <x:c r="D10" s="41" t="str">
        <x:v>Long-term benchmark</x:v>
      </x:c>
      <x:c r="E10" s="41" t="str">
        <x:v>9/22/2026</x:v>
      </x:c>
      <x:c r="F10" s="41" t="str">
        <x:v>U.S. Treasury</x:v>
      </x:c>
    </x:row>
    <x:row r="11">
      <x:c r="A11" s="41"/>
      <x:c r="B11" s="41"/>
      <x:c r="C11" s="41"/>
      <x:c r="D11" s="41"/>
      <x:c r="E11" s="41"/>
      <x:c r="F11" s="41"/>
    </x:row>
    <x:row r="12">
      <x:c r="A12" s="57" t="str">
        <x:v>Derivative Pricing Inputs Used in This Case</x:v>
      </x:c>
      <x:c r="B12" s="57"/>
      <x:c r="C12" s="57"/>
      <x:c r="D12" s="57"/>
      <x:c r="E12" s="57"/>
      <x:c r="F12" s="57"/>
    </x:row>
    <x:row r="13">
      <x:c r="A13" s="40" t="str">
        <x:v>Input</x:v>
      </x:c>
      <x:c r="B13" s="40" t="str">
        <x:v>Value</x:v>
      </x:c>
      <x:c r="C13" s="40" t="str">
        <x:v>Status</x:v>
      </x:c>
      <x:c r="D13" s="40" t="str">
        <x:v>Purpose</x:v>
      </x:c>
      <x:c r="E13" s="40" t="str">
        <x:v>Source / Note</x:v>
      </x:c>
      <x:c r="F13" s="40" t="str"/>
    </x:row>
    <x:row r="14">
      <x:c r="A14" s="41" t="str">
        <x:v>Base SOFR</x:v>
      </x:c>
      <x:c r="B14" s="58" t="n">
        <x:v>0.039</x:v>
      </x:c>
      <x:c r="C14" s="41" t="str">
        <x:v>Illustrative</x:v>
      </x:c>
      <x:c r="D14" s="41" t="str">
        <x:v>Floating debt index</x:v>
      </x:c>
      <x:c r="E14" s="41" t="str">
        <x:v>Portfolio simulation; not a live quote</x:v>
      </x:c>
      <x:c r="F14" s="41" t="str"/>
    </x:row>
    <x:row r="15">
      <x:c r="A15" s="41" t="str">
        <x:v>3Y swap fixed rate</x:v>
      </x:c>
      <x:c r="B15" s="58" t="n">
        <x:v>0.044</x:v>
      </x:c>
      <x:c r="C15" s="41" t="str">
        <x:v>Illustrative</x:v>
      </x:c>
      <x:c r="D15" s="41" t="str">
        <x:v>Pay-fixed / receive-SOFR alternative</x:v>
      </x:c>
      <x:c r="E15" s="41" t="str">
        <x:v>Portfolio simulation; dealer quotes vary</x:v>
      </x:c>
      <x:c r="F15" s="41" t="str"/>
    </x:row>
    <x:row r="16">
      <x:c r="A16" s="41" t="str">
        <x:v>SOFR cap strike</x:v>
      </x:c>
      <x:c r="B16" s="58" t="n">
        <x:v>0.0425</x:v>
      </x:c>
      <x:c r="C16" s="41" t="str">
        <x:v>Illustrative</x:v>
      </x:c>
      <x:c r="D16" s="41" t="str">
        <x:v>Interest-rate ceiling</x:v>
      </x:c>
      <x:c r="E16" s="41" t="str">
        <x:v>Portfolio simulation</x:v>
      </x:c>
      <x:c r="F16" s="41" t="str"/>
    </x:row>
    <x:row r="17">
      <x:c r="A17" s="41" t="str">
        <x:v>Annualized cap premium</x:v>
      </x:c>
      <x:c r="B17" s="58" t="n">
        <x:v>0.0045</x:v>
      </x:c>
      <x:c r="C17" s="41" t="str">
        <x:v>Illustrative</x:v>
      </x:c>
      <x:c r="D17" s="41" t="str">
        <x:v>Option-cost proxy</x:v>
      </x:c>
      <x:c r="E17" s="41" t="str">
        <x:v>Portfolio simulation</x:v>
      </x:c>
      <x:c r="F17" s="41" t="str"/>
    </x:row>
    <x:row r="18">
      <x:c r="A18" s="41"/>
      <x:c r="B18" s="41"/>
      <x:c r="C18" s="41"/>
      <x:c r="D18" s="41"/>
      <x:c r="E18" s="41"/>
      <x:c r="F18" s="41"/>
    </x:row>
    <x:row r="19">
      <x:c r="A19" s="57" t="str">
        <x:v>Analyst takeaway</x:v>
      </x:c>
      <x:c r="B19" s="57" t="str"/>
      <x:c r="C19" s="57" t="str"/>
      <x:c r="D19" s="57" t="str"/>
      <x:c r="E19" s="57" t="str"/>
      <x:c r="F19" s="57" t="str"/>
    </x:row>
    <x:row r="20">
      <x:c r="A20" s="41" t="str">
        <x:v>Curve shape</x:v>
      </x:c>
      <x:c r="B20" s="41" t="str">
        <x:v>The Treasury curve is upward sloping from 1Y to 10Y in this snapshot, reinforcing the need to evaluate both current carry and protection against higher-for-longer rates.</x:v>
      </x:c>
      <x:c r="C20" s="41" t="str"/>
      <x:c r="D20" s="41" t="str"/>
      <x:c r="E20" s="41" t="str"/>
      <x:c r="F20" s="41" t="str"/>
    </x:row>
    <x:row r="21">
      <x:c r="A21" s="41" t="str">
        <x:v>Important limitation</x:v>
      </x:c>
      <x:c r="B21" s="41" t="str">
        <x:v>Treasury yields are market context only; swap rates and cap premiums are illustrative because executable derivatives pricing requires dealer/trading-desk quotes.</x:v>
      </x:c>
      <x:c r="C21" s="41" t="str"/>
      <x:c r="D21" s="41" t="str"/>
      <x:c r="E21" s="41" t="str"/>
      <x:c r="F21" s="41" t="str"/>
    </x:row>
    <x:row r="22">
      <x:c r="A22" s="41"/>
      <x:c r="B22" s="41"/>
      <x:c r="C22" s="41"/>
      <x:c r="D22" s="41"/>
      <x:c r="E22" s="41"/>
      <x:c r="F22" s="41"/>
    </x:row>
    <x:row r="23">
      <x:c r="A23" s="41"/>
      <x:c r="B23" s="41"/>
      <x:c r="C23" s="41"/>
      <x:c r="D23" s="41"/>
      <x:c r="E23" s="41"/>
      <x:c r="F23" s="41"/>
    </x:row>
    <x:row r="24">
      <x:c r="A24" s="41"/>
      <x:c r="B24" s="41"/>
      <x:c r="C24" s="41"/>
      <x:c r="D24" s="41"/>
      <x:c r="E24" s="41"/>
      <x:c r="F24" s="41"/>
    </x:row>
    <x:row r="25">
      <x:c r="A25" s="41"/>
      <x:c r="B25" s="41"/>
      <x:c r="C25" s="41"/>
      <x:c r="D25" s="41"/>
      <x:c r="E25" s="41"/>
      <x:c r="F25" s="41"/>
    </x:row>
  </x:sheetData>
  <x:mergeCells>
    <x:mergeCell ref="A1:F1"/>
    <x:mergeCell ref="A3:F3"/>
    <x:mergeCell ref="A12:F12"/>
    <x:mergeCell ref="B20:F20"/>
    <x:mergeCell ref="B21:F21"/>
  </x:mergeCells>
  <x:pageMargins left="0.7" right="0.7" top="0.75" bottom="0.75" header="0.3" footer="0.3"/>
  <x:drawing xmlns:r="http://schemas.openxmlformats.org/officeDocument/2006/relationships" r:id="R3a3d920fcc9c4df0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22" hidden="0" customWidth="1"/>
    <x:col min="7" max="7" width="20" hidden="0" customWidth="1"/>
    <x:col min="8" max="8" width="18" hidden="0" customWidth="1"/>
    <x:col min="9" max="9" width="18" hidden="0" customWidth="1"/>
    <x:col min="10" max="10" width="24" hidden="0" customWidth="1"/>
  </x:cols>
  <x:sheetData>
    <x:row r="1">
      <x:c r="A1" s="5" t="str">
        <x:v>Quarterly Interest Expense Model | 3-Year Horizon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>
      <x:c r="A3" s="13" t="str">
        <x:v>Illustrative quarterly SOFR path and strategy economics</x:v>
      </x:c>
      <x:c r="B3" s="13"/>
      <x:c r="C3" s="13"/>
      <x:c r="D3" s="13"/>
      <x:c r="E3" s="13"/>
      <x:c r="F3" s="13"/>
      <x:c r="G3" s="13"/>
      <x:c r="H3" s="13"/>
      <x:c r="I3" s="13"/>
      <x:c r="J3" s="13"/>
    </x:row>
    <x:row r="4">
      <x:c r="A4" s="21" t="str">
        <x:v>Quarter</x:v>
      </x:c>
      <x:c r="B4" s="21" t="str">
        <x:v>SOFR</x:v>
      </x:c>
      <x:c r="C4" s="21" t="str">
        <x:v>Unhedged ($mm)</x:v>
      </x:c>
      <x:c r="D4" s="21" t="str">
        <x:v>75% Swap ($mm)</x:v>
      </x:c>
      <x:c r="E4" s="21" t="str">
        <x:v>75% Cap ($mm)</x:v>
      </x:c>
      <x:c r="F4" s="21" t="str">
        <x:v>Recommended Blend ($mm)</x:v>
      </x:c>
      <x:c r="G4" s="21" t="str">
        <x:v>Blend Savings vs Unhedged</x:v>
      </x:c>
      <x:c r="H4" s="21" t="str">
        <x:v>Budget Ceiling / Qtr</x:v>
      </x:c>
      <x:c r="I4" s="21" t="str">
        <x:v>Blend Headroom</x:v>
      </x:c>
      <x:c r="J4" s="21" t="str">
        <x:v>Comment</x:v>
      </x:c>
    </x:row>
    <x:row r="5">
      <x:c r="A5" t="str">
        <x:v>Q1</x:v>
      </x:c>
      <x:c r="B5" s="68" t="n">
        <x:v>0.039</x:v>
      </x:c>
      <x:c r="C5" s="70" t="n">
        <x:f>'Assumptions'!$B$6*(B5+'Assumptions'!$B$8)/4</x:f>
        <x:v>7.0625</x:v>
      </x:c>
      <x:c r="D5" s="70" t="n">
        <x:f>'Assumptions'!$B$6*(0.75*('Assumptions'!$B$10+'Assumptions'!$B$8)+0.25*(B5+'Assumptions'!$B$8))/4</x:f>
        <x:v>7.53125</x:v>
      </x:c>
      <x:c r="E5" s="70" t="n">
        <x:f>'Assumptions'!$B$6*(0.75*(MIN(B5,'Assumptions'!$B$11)+'Assumptions'!$B$8)+0.25*(B5+'Assumptions'!$B$8))/4+'Assumptions'!$B$6*0.75*'Assumptions'!$B$12/4</x:f>
        <x:v>7.484375</x:v>
      </x:c>
      <x:c r="F5" s="70" t="n">
        <x:f>'Assumptions'!$B$6*('Assumptions'!$B$13*('Assumptions'!$B$10+'Assumptions'!$B$8)+'Assumptions'!$B$14*(MIN(B5,'Assumptions'!$B$11)+'Assumptions'!$B$8)+'Assumptions'!$B$15*(B5+'Assumptions'!$B$8))/4+'Assumptions'!$B$6*'Assumptions'!$B$14*'Assumptions'!$B$12/4</x:f>
        <x:v>7.515625</x:v>
      </x:c>
      <x:c r="G5" s="70" t="n">
        <x:f>C5-F5</x:f>
        <x:v>-0.453125</x:v>
      </x:c>
      <x:c r="H5" s="70" t="n">
        <x:f>'Assumptions'!$B$18/4</x:f>
        <x:v>8.5</x:v>
      </x:c>
      <x:c r="I5" s="70" t="n">
        <x:f>H5-F5</x:f>
        <x:v>0.984375</x:v>
      </x:c>
      <x:c r="J5" t="str">
        <x:v>Illustrative forward-rate path</x:v>
      </x:c>
    </x:row>
    <x:row r="6">
      <x:c r="A6" t="str">
        <x:v>Q2</x:v>
      </x:c>
      <x:c r="B6" s="68" t="n">
        <x:v>0.0375</x:v>
      </x:c>
      <x:c r="C6" s="70" t="n">
        <x:f>'Assumptions'!$B$6*(B6+'Assumptions'!$B$8)/4</x:f>
        <x:v>6.875</x:v>
      </x:c>
      <x:c r="D6" s="70" t="n">
        <x:f>'Assumptions'!$B$6*(0.75*('Assumptions'!$B$10+'Assumptions'!$B$8)+0.25*(B6+'Assumptions'!$B$8))/4</x:f>
        <x:v>7.484375</x:v>
      </x:c>
      <x:c r="E6" s="70" t="n">
        <x:f>'Assumptions'!$B$6*(0.75*(MIN(B6,'Assumptions'!$B$11)+'Assumptions'!$B$8)+0.25*(B6+'Assumptions'!$B$8))/4+'Assumptions'!$B$6*0.75*'Assumptions'!$B$12/4</x:f>
        <x:v>7.296875</x:v>
      </x:c>
      <x:c r="F6" s="70" t="n">
        <x:f>'Assumptions'!$B$6*('Assumptions'!$B$13*('Assumptions'!$B$10+'Assumptions'!$B$8)+'Assumptions'!$B$14*(MIN(B6,'Assumptions'!$B$11)+'Assumptions'!$B$8)+'Assumptions'!$B$15*(B6+'Assumptions'!$B$8))/4+'Assumptions'!$B$6*'Assumptions'!$B$14*'Assumptions'!$B$12/4</x:f>
        <x:v>7.421874999999999</x:v>
      </x:c>
      <x:c r="G6" s="70" t="n">
        <x:f>C6-F6</x:f>
        <x:v>-0.5468749999999991</x:v>
      </x:c>
      <x:c r="H6" s="70" t="n">
        <x:f>'Assumptions'!$B$18/4</x:f>
        <x:v>8.5</x:v>
      </x:c>
      <x:c r="I6" s="70" t="n">
        <x:f>H6-F6</x:f>
        <x:v>1.0781250000000009</x:v>
      </x:c>
      <x:c r="J6" t="str">
        <x:v>Illustrative forward-rate path</x:v>
      </x:c>
    </x:row>
    <x:row r="7">
      <x:c r="A7" t="str">
        <x:v>Q3</x:v>
      </x:c>
      <x:c r="B7" s="68" t="n">
        <x:v>0.036</x:v>
      </x:c>
      <x:c r="C7" s="70" t="n">
        <x:f>'Assumptions'!$B$6*(B7+'Assumptions'!$B$8)/4</x:f>
        <x:v>6.6875</x:v>
      </x:c>
      <x:c r="D7" s="70" t="n">
        <x:f>'Assumptions'!$B$6*(0.75*('Assumptions'!$B$10+'Assumptions'!$B$8)+0.25*(B7+'Assumptions'!$B$8))/4</x:f>
        <x:v>7.4375</x:v>
      </x:c>
      <x:c r="E7" s="70" t="n">
        <x:f>'Assumptions'!$B$6*(0.75*(MIN(B7,'Assumptions'!$B$11)+'Assumptions'!$B$8)+0.25*(B7+'Assumptions'!$B$8))/4+'Assumptions'!$B$6*0.75*'Assumptions'!$B$12/4</x:f>
        <x:v>7.109375</x:v>
      </x:c>
      <x:c r="F7" s="70" t="n">
        <x:f>'Assumptions'!$B$6*('Assumptions'!$B$13*('Assumptions'!$B$10+'Assumptions'!$B$8)+'Assumptions'!$B$14*(MIN(B7,'Assumptions'!$B$11)+'Assumptions'!$B$8)+'Assumptions'!$B$15*(B7+'Assumptions'!$B$8))/4+'Assumptions'!$B$6*'Assumptions'!$B$14*'Assumptions'!$B$12/4</x:f>
        <x:v>7.328124999999999</x:v>
      </x:c>
      <x:c r="G7" s="70" t="n">
        <x:f>C7-F7</x:f>
        <x:v>-0.6406249999999991</x:v>
      </x:c>
      <x:c r="H7" s="70" t="n">
        <x:f>'Assumptions'!$B$18/4</x:f>
        <x:v>8.5</x:v>
      </x:c>
      <x:c r="I7" s="70" t="n">
        <x:f>H7-F7</x:f>
        <x:v>1.1718750000000009</x:v>
      </x:c>
      <x:c r="J7" t="str">
        <x:v>Illustrative forward-rate path</x:v>
      </x:c>
    </x:row>
    <x:row r="8">
      <x:c r="A8" t="str">
        <x:v>Q4</x:v>
      </x:c>
      <x:c r="B8" s="68" t="n">
        <x:v>0.035</x:v>
      </x:c>
      <x:c r="C8" s="70" t="n">
        <x:f>'Assumptions'!$B$6*(B8+'Assumptions'!$B$8)/4</x:f>
        <x:v>6.562500000000001</x:v>
      </x:c>
      <x:c r="D8" s="70" t="n">
        <x:f>'Assumptions'!$B$6*(0.75*('Assumptions'!$B$10+'Assumptions'!$B$8)+0.25*(B8+'Assumptions'!$B$8))/4</x:f>
        <x:v>7.40625</x:v>
      </x:c>
      <x:c r="E8" s="70" t="n">
        <x:f>'Assumptions'!$B$6*(0.75*(MIN(B8,'Assumptions'!$B$11)+'Assumptions'!$B$8)+0.25*(B8+'Assumptions'!$B$8))/4+'Assumptions'!$B$6*0.75*'Assumptions'!$B$12/4</x:f>
        <x:v>6.984375000000001</x:v>
      </x:c>
      <x:c r="F8" s="70" t="n">
        <x:f>'Assumptions'!$B$6*('Assumptions'!$B$13*('Assumptions'!$B$10+'Assumptions'!$B$8)+'Assumptions'!$B$14*(MIN(B8,'Assumptions'!$B$11)+'Assumptions'!$B$8)+'Assumptions'!$B$15*(B8+'Assumptions'!$B$8))/4+'Assumptions'!$B$6*'Assumptions'!$B$14*'Assumptions'!$B$12/4</x:f>
        <x:v>7.265624999999999</x:v>
      </x:c>
      <x:c r="G8" s="70" t="n">
        <x:f>C8-F8</x:f>
        <x:v>-0.7031249999999982</x:v>
      </x:c>
      <x:c r="H8" s="70" t="n">
        <x:f>'Assumptions'!$B$18/4</x:f>
        <x:v>8.5</x:v>
      </x:c>
      <x:c r="I8" s="70" t="n">
        <x:f>H8-F8</x:f>
        <x:v>1.2343750000000009</x:v>
      </x:c>
      <x:c r="J8" t="str">
        <x:v>Illustrative forward-rate path</x:v>
      </x:c>
    </x:row>
    <x:row r="9">
      <x:c r="A9" t="str">
        <x:v>Q5</x:v>
      </x:c>
      <x:c r="B9" s="68" t="n">
        <x:v>0.034</x:v>
      </x:c>
      <x:c r="C9" s="70" t="n">
        <x:f>'Assumptions'!$B$6*(B9+'Assumptions'!$B$8)/4</x:f>
        <x:v>6.437500000000001</x:v>
      </x:c>
      <x:c r="D9" s="70" t="n">
        <x:f>'Assumptions'!$B$6*(0.75*('Assumptions'!$B$10+'Assumptions'!$B$8)+0.25*(B9+'Assumptions'!$B$8))/4</x:f>
        <x:v>7.375</x:v>
      </x:c>
      <x:c r="E9" s="70" t="n">
        <x:f>'Assumptions'!$B$6*(0.75*(MIN(B9,'Assumptions'!$B$11)+'Assumptions'!$B$8)+0.25*(B9+'Assumptions'!$B$8))/4+'Assumptions'!$B$6*0.75*'Assumptions'!$B$12/4</x:f>
        <x:v>6.859375000000001</x:v>
      </x:c>
      <x:c r="F9" s="70" t="n">
        <x:f>'Assumptions'!$B$6*('Assumptions'!$B$13*('Assumptions'!$B$10+'Assumptions'!$B$8)+'Assumptions'!$B$14*(MIN(B9,'Assumptions'!$B$11)+'Assumptions'!$B$8)+'Assumptions'!$B$15*(B9+'Assumptions'!$B$8))/4+'Assumptions'!$B$6*'Assumptions'!$B$14*'Assumptions'!$B$12/4</x:f>
        <x:v>7.203124999999999</x:v>
      </x:c>
      <x:c r="G9" s="70" t="n">
        <x:f>C9-F9</x:f>
        <x:v>-0.7656249999999982</x:v>
      </x:c>
      <x:c r="H9" s="70" t="n">
        <x:f>'Assumptions'!$B$18/4</x:f>
        <x:v>8.5</x:v>
      </x:c>
      <x:c r="I9" s="70" t="n">
        <x:f>H9-F9</x:f>
        <x:v>1.2968750000000009</x:v>
      </x:c>
      <x:c r="J9" t="str">
        <x:v>Illustrative forward-rate path</x:v>
      </x:c>
    </x:row>
    <x:row r="10">
      <x:c r="A10" t="str">
        <x:v>Q6</x:v>
      </x:c>
      <x:c r="B10" s="68" t="n">
        <x:v>0.033</x:v>
      </x:c>
      <x:c r="C10" s="70" t="n">
        <x:f>'Assumptions'!$B$6*(B10+'Assumptions'!$B$8)/4</x:f>
        <x:v>6.3125</x:v>
      </x:c>
      <x:c r="D10" s="70" t="n">
        <x:f>'Assumptions'!$B$6*(0.75*('Assumptions'!$B$10+'Assumptions'!$B$8)+0.25*(B10+'Assumptions'!$B$8))/4</x:f>
        <x:v>7.34375</x:v>
      </x:c>
      <x:c r="E10" s="70" t="n">
        <x:f>'Assumptions'!$B$6*(0.75*(MIN(B10,'Assumptions'!$B$11)+'Assumptions'!$B$8)+0.25*(B10+'Assumptions'!$B$8))/4+'Assumptions'!$B$6*0.75*'Assumptions'!$B$12/4</x:f>
        <x:v>6.734375</x:v>
      </x:c>
      <x:c r="F10" s="70" t="n">
        <x:f>'Assumptions'!$B$6*('Assumptions'!$B$13*('Assumptions'!$B$10+'Assumptions'!$B$8)+'Assumptions'!$B$14*(MIN(B10,'Assumptions'!$B$11)+'Assumptions'!$B$8)+'Assumptions'!$B$15*(B10+'Assumptions'!$B$8))/4+'Assumptions'!$B$6*'Assumptions'!$B$14*'Assumptions'!$B$12/4</x:f>
        <x:v>7.140624999999999</x:v>
      </x:c>
      <x:c r="G10" s="70" t="n">
        <x:f>C10-F10</x:f>
        <x:v>-0.8281249999999991</x:v>
      </x:c>
      <x:c r="H10" s="70" t="n">
        <x:f>'Assumptions'!$B$18/4</x:f>
        <x:v>8.5</x:v>
      </x:c>
      <x:c r="I10" s="70" t="n">
        <x:f>H10-F10</x:f>
        <x:v>1.3593750000000009</x:v>
      </x:c>
      <x:c r="J10" t="str">
        <x:v>Illustrative forward-rate path</x:v>
      </x:c>
    </x:row>
    <x:row r="11">
      <x:c r="A11" t="str">
        <x:v>Q7</x:v>
      </x:c>
      <x:c r="B11" s="68" t="n">
        <x:v>0.0325</x:v>
      </x:c>
      <x:c r="C11" s="70" t="n">
        <x:f>'Assumptions'!$B$6*(B11+'Assumptions'!$B$8)/4</x:f>
        <x:v>6.25</x:v>
      </x:c>
      <x:c r="D11" s="70" t="n">
        <x:f>'Assumptions'!$B$6*(0.75*('Assumptions'!$B$10+'Assumptions'!$B$8)+0.25*(B11+'Assumptions'!$B$8))/4</x:f>
        <x:v>7.328125</x:v>
      </x:c>
      <x:c r="E11" s="70" t="n">
        <x:f>'Assumptions'!$B$6*(0.75*(MIN(B11,'Assumptions'!$B$11)+'Assumptions'!$B$8)+0.25*(B11+'Assumptions'!$B$8))/4+'Assumptions'!$B$6*0.75*'Assumptions'!$B$12/4</x:f>
        <x:v>6.671875</x:v>
      </x:c>
      <x:c r="F11" s="70" t="n">
        <x:f>'Assumptions'!$B$6*('Assumptions'!$B$13*('Assumptions'!$B$10+'Assumptions'!$B$8)+'Assumptions'!$B$14*(MIN(B11,'Assumptions'!$B$11)+'Assumptions'!$B$8)+'Assumptions'!$B$15*(B11+'Assumptions'!$B$8))/4+'Assumptions'!$B$6*'Assumptions'!$B$14*'Assumptions'!$B$12/4</x:f>
        <x:v>7.109374999999999</x:v>
      </x:c>
      <x:c r="G11" s="70" t="n">
        <x:f>C11-F11</x:f>
        <x:v>-0.8593749999999991</x:v>
      </x:c>
      <x:c r="H11" s="70" t="n">
        <x:f>'Assumptions'!$B$18/4</x:f>
        <x:v>8.5</x:v>
      </x:c>
      <x:c r="I11" s="70" t="n">
        <x:f>H11-F11</x:f>
        <x:v>1.3906250000000009</x:v>
      </x:c>
      <x:c r="J11" t="str">
        <x:v>Illustrative forward-rate path</x:v>
      </x:c>
    </x:row>
    <x:row r="12">
      <x:c r="A12" t="str">
        <x:v>Q8</x:v>
      </x:c>
      <x:c r="B12" s="68" t="n">
        <x:v>0.032</x:v>
      </x:c>
      <x:c r="C12" s="70" t="n">
        <x:f>'Assumptions'!$B$6*(B12+'Assumptions'!$B$8)/4</x:f>
        <x:v>6.1875</x:v>
      </x:c>
      <x:c r="D12" s="70" t="n">
        <x:f>'Assumptions'!$B$6*(0.75*('Assumptions'!$B$10+'Assumptions'!$B$8)+0.25*(B12+'Assumptions'!$B$8))/4</x:f>
        <x:v>7.3125</x:v>
      </x:c>
      <x:c r="E12" s="70" t="n">
        <x:f>'Assumptions'!$B$6*(0.75*(MIN(B12,'Assumptions'!$B$11)+'Assumptions'!$B$8)+0.25*(B12+'Assumptions'!$B$8))/4+'Assumptions'!$B$6*0.75*'Assumptions'!$B$12/4</x:f>
        <x:v>6.609375</x:v>
      </x:c>
      <x:c r="F12" s="70" t="n">
        <x:f>'Assumptions'!$B$6*('Assumptions'!$B$13*('Assumptions'!$B$10+'Assumptions'!$B$8)+'Assumptions'!$B$14*(MIN(B12,'Assumptions'!$B$11)+'Assumptions'!$B$8)+'Assumptions'!$B$15*(B12+'Assumptions'!$B$8))/4+'Assumptions'!$B$6*'Assumptions'!$B$14*'Assumptions'!$B$12/4</x:f>
        <x:v>7.078124999999999</x:v>
      </x:c>
      <x:c r="G12" s="70" t="n">
        <x:f>C12-F12</x:f>
        <x:v>-0.8906249999999991</x:v>
      </x:c>
      <x:c r="H12" s="70" t="n">
        <x:f>'Assumptions'!$B$18/4</x:f>
        <x:v>8.5</x:v>
      </x:c>
      <x:c r="I12" s="70" t="n">
        <x:f>H12-F12</x:f>
        <x:v>1.4218750000000009</x:v>
      </x:c>
      <x:c r="J12" t="str">
        <x:v>Illustrative forward-rate path</x:v>
      </x:c>
    </x:row>
    <x:row r="13">
      <x:c r="A13" t="str">
        <x:v>Q9</x:v>
      </x:c>
      <x:c r="B13" s="68" t="n">
        <x:v>0.0315</x:v>
      </x:c>
      <x:c r="C13" s="70" t="n">
        <x:f>'Assumptions'!$B$6*(B13+'Assumptions'!$B$8)/4</x:f>
        <x:v>6.125</x:v>
      </x:c>
      <x:c r="D13" s="70" t="n">
        <x:f>'Assumptions'!$B$6*(0.75*('Assumptions'!$B$10+'Assumptions'!$B$8)+0.25*(B13+'Assumptions'!$B$8))/4</x:f>
        <x:v>7.296874999999999</x:v>
      </x:c>
      <x:c r="E13" s="70" t="n">
        <x:f>'Assumptions'!$B$6*(0.75*(MIN(B13,'Assumptions'!$B$11)+'Assumptions'!$B$8)+0.25*(B13+'Assumptions'!$B$8))/4+'Assumptions'!$B$6*0.75*'Assumptions'!$B$12/4</x:f>
        <x:v>6.546875</x:v>
      </x:c>
      <x:c r="F13" s="70" t="n">
        <x:f>'Assumptions'!$B$6*('Assumptions'!$B$13*('Assumptions'!$B$10+'Assumptions'!$B$8)+'Assumptions'!$B$14*(MIN(B13,'Assumptions'!$B$11)+'Assumptions'!$B$8)+'Assumptions'!$B$15*(B13+'Assumptions'!$B$8))/4+'Assumptions'!$B$6*'Assumptions'!$B$14*'Assumptions'!$B$12/4</x:f>
        <x:v>7.046874999999999</x:v>
      </x:c>
      <x:c r="G13" s="70" t="n">
        <x:f>C13-F13</x:f>
        <x:v>-0.9218749999999991</x:v>
      </x:c>
      <x:c r="H13" s="70" t="n">
        <x:f>'Assumptions'!$B$18/4</x:f>
        <x:v>8.5</x:v>
      </x:c>
      <x:c r="I13" s="70" t="n">
        <x:f>H13-F13</x:f>
        <x:v>1.4531250000000009</x:v>
      </x:c>
      <x:c r="J13" t="str">
        <x:v>Illustrative forward-rate path</x:v>
      </x:c>
    </x:row>
    <x:row r="14">
      <x:c r="A14" t="str">
        <x:v>Q10</x:v>
      </x:c>
      <x:c r="B14" s="68" t="n">
        <x:v>0.031</x:v>
      </x:c>
      <x:c r="C14" s="70" t="n">
        <x:f>'Assumptions'!$B$6*(B14+'Assumptions'!$B$8)/4</x:f>
        <x:v>6.0625</x:v>
      </x:c>
      <x:c r="D14" s="70" t="n">
        <x:f>'Assumptions'!$B$6*(0.75*('Assumptions'!$B$10+'Assumptions'!$B$8)+0.25*(B14+'Assumptions'!$B$8))/4</x:f>
        <x:v>7.281249999999999</x:v>
      </x:c>
      <x:c r="E14" s="70" t="n">
        <x:f>'Assumptions'!$B$6*(0.75*(MIN(B14,'Assumptions'!$B$11)+'Assumptions'!$B$8)+0.25*(B14+'Assumptions'!$B$8))/4+'Assumptions'!$B$6*0.75*'Assumptions'!$B$12/4</x:f>
        <x:v>6.484375</x:v>
      </x:c>
      <x:c r="F14" s="70" t="n">
        <x:f>'Assumptions'!$B$6*('Assumptions'!$B$13*('Assumptions'!$B$10+'Assumptions'!$B$8)+'Assumptions'!$B$14*(MIN(B14,'Assumptions'!$B$11)+'Assumptions'!$B$8)+'Assumptions'!$B$15*(B14+'Assumptions'!$B$8))/4+'Assumptions'!$B$6*'Assumptions'!$B$14*'Assumptions'!$B$12/4</x:f>
        <x:v>7.015624999999999</x:v>
      </x:c>
      <x:c r="G14" s="70" t="n">
        <x:f>C14-F14</x:f>
        <x:v>-0.9531249999999991</x:v>
      </x:c>
      <x:c r="H14" s="70" t="n">
        <x:f>'Assumptions'!$B$18/4</x:f>
        <x:v>8.5</x:v>
      </x:c>
      <x:c r="I14" s="70" t="n">
        <x:f>H14-F14</x:f>
        <x:v>1.4843750000000009</x:v>
      </x:c>
      <x:c r="J14" t="str">
        <x:v>Illustrative forward-rate path</x:v>
      </x:c>
    </x:row>
    <x:row r="15">
      <x:c r="A15" t="str">
        <x:v>Q11</x:v>
      </x:c>
      <x:c r="B15" s="68" t="n">
        <x:v>0.0305</x:v>
      </x:c>
      <x:c r="C15" s="70" t="n">
        <x:f>'Assumptions'!$B$6*(B15+'Assumptions'!$B$8)/4</x:f>
        <x:v>6</x:v>
      </x:c>
      <x:c r="D15" s="70" t="n">
        <x:f>'Assumptions'!$B$6*(0.75*('Assumptions'!$B$10+'Assumptions'!$B$8)+0.25*(B15+'Assumptions'!$B$8))/4</x:f>
        <x:v>7.265624999999999</x:v>
      </x:c>
      <x:c r="E15" s="70" t="n">
        <x:f>'Assumptions'!$B$6*(0.75*(MIN(B15,'Assumptions'!$B$11)+'Assumptions'!$B$8)+0.25*(B15+'Assumptions'!$B$8))/4+'Assumptions'!$B$6*0.75*'Assumptions'!$B$12/4</x:f>
        <x:v>6.421875</x:v>
      </x:c>
      <x:c r="F15" s="70" t="n">
        <x:f>'Assumptions'!$B$6*('Assumptions'!$B$13*('Assumptions'!$B$10+'Assumptions'!$B$8)+'Assumptions'!$B$14*(MIN(B15,'Assumptions'!$B$11)+'Assumptions'!$B$8)+'Assumptions'!$B$15*(B15+'Assumptions'!$B$8))/4+'Assumptions'!$B$6*'Assumptions'!$B$14*'Assumptions'!$B$12/4</x:f>
        <x:v>6.984374999999999</x:v>
      </x:c>
      <x:c r="G15" s="70" t="n">
        <x:f>C15-F15</x:f>
        <x:v>-0.9843749999999991</x:v>
      </x:c>
      <x:c r="H15" s="70" t="n">
        <x:f>'Assumptions'!$B$18/4</x:f>
        <x:v>8.5</x:v>
      </x:c>
      <x:c r="I15" s="70" t="n">
        <x:f>H15-F15</x:f>
        <x:v>1.5156250000000009</x:v>
      </x:c>
      <x:c r="J15" t="str">
        <x:v>Illustrative forward-rate path</x:v>
      </x:c>
    </x:row>
    <x:row r="16">
      <x:c r="A16" t="str">
        <x:v>Q12</x:v>
      </x:c>
      <x:c r="B16" s="68" t="n">
        <x:v>0.03</x:v>
      </x:c>
      <x:c r="C16" s="70" t="n">
        <x:f>'Assumptions'!$B$6*(B16+'Assumptions'!$B$8)/4</x:f>
        <x:v>5.9375</x:v>
      </x:c>
      <x:c r="D16" s="70" t="n">
        <x:f>'Assumptions'!$B$6*(0.75*('Assumptions'!$B$10+'Assumptions'!$B$8)+0.25*(B16+'Assumptions'!$B$8))/4</x:f>
        <x:v>7.249999999999999</x:v>
      </x:c>
      <x:c r="E16" s="70" t="n">
        <x:f>'Assumptions'!$B$6*(0.75*(MIN(B16,'Assumptions'!$B$11)+'Assumptions'!$B$8)+0.25*(B16+'Assumptions'!$B$8))/4+'Assumptions'!$B$6*0.75*'Assumptions'!$B$12/4</x:f>
        <x:v>6.359375</x:v>
      </x:c>
      <x:c r="F16" s="70" t="n">
        <x:f>'Assumptions'!$B$6*('Assumptions'!$B$13*('Assumptions'!$B$10+'Assumptions'!$B$8)+'Assumptions'!$B$14*(MIN(B16,'Assumptions'!$B$11)+'Assumptions'!$B$8)+'Assumptions'!$B$15*(B16+'Assumptions'!$B$8))/4+'Assumptions'!$B$6*'Assumptions'!$B$14*'Assumptions'!$B$12/4</x:f>
        <x:v>6.953124999999999</x:v>
      </x:c>
      <x:c r="G16" s="70" t="n">
        <x:f>C16-F16</x:f>
        <x:v>-1.0156249999999991</x:v>
      </x:c>
      <x:c r="H16" s="70" t="n">
        <x:f>'Assumptions'!$B$18/4</x:f>
        <x:v>8.5</x:v>
      </x:c>
      <x:c r="I16" s="70" t="n">
        <x:f>H16-F16</x:f>
        <x:v>1.5468750000000009</x:v>
      </x:c>
      <x:c r="J16" t="str">
        <x:v>Illustrative forward-rate path</x:v>
      </x:c>
    </x:row>
    <x:row r="17">
      <x:c r="C17" s="70"/>
      <x:c r="D17" s="70"/>
      <x:c r="E17" s="70"/>
      <x:c r="F17" s="70"/>
      <x:c r="G17" s="70"/>
      <x:c r="H17" s="70"/>
      <x:c r="I17" s="70"/>
    </x:row>
    <x:row r="18">
      <x:c r="A18" s="64" t="str">
        <x:v>3-Year Total</x:v>
      </x:c>
      <x:c r="B18" s="64" t="str"/>
      <x:c r="C18" s="71" t="n">
        <x:f>SUM(C5:C16)</x:f>
        <x:v>76.5</x:v>
      </x:c>
      <x:c r="D18" s="71" t="n">
        <x:f>SUM(D5:D16)</x:f>
        <x:v>88.3125</x:v>
      </x:c>
      <x:c r="E18" s="71" t="n">
        <x:f>SUM(E5:E16)</x:f>
        <x:v>81.5625</x:v>
      </x:c>
      <x:c r="F18" s="71" t="n">
        <x:f>SUM(F5:F16)</x:f>
        <x:v>86.0625</x:v>
      </x:c>
      <x:c r="G18" s="71" t="n">
        <x:f>SUM(G5:G16)</x:f>
        <x:v>-9.56249999999999</x:v>
      </x:c>
      <x:c r="H18" s="71" t="n">
        <x:f>SUM(H5:H16)</x:f>
        <x:v>102</x:v>
      </x:c>
      <x:c r="I18" s="71" t="n">
        <x:f>SUM(I5:I16)</x:f>
        <x:v>15.937500000000007</x:v>
      </x:c>
      <x:c r="J18" t="str"/>
    </x:row>
  </x:sheetData>
  <x:mergeCells>
    <x:mergeCell ref="A1:J1"/>
    <x:mergeCell ref="A3:J3"/>
  </x:mergeCells>
  <x:pageMargins left="0.7" right="0.7" top="0.75" bottom="0.75" header="0.3" footer="0.3"/>
  <x:drawing xmlns:r="http://schemas.openxmlformats.org/officeDocument/2006/relationships" r:id="R5f0edaf8ed7844b0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22" hidden="0" customWidth="1"/>
    <x:col min="6" max="6" width="22" hidden="0" customWidth="1"/>
    <x:col min="7" max="7" width="20" hidden="0" customWidth="1"/>
    <x:col min="8" max="8" width="18" hidden="0" customWidth="1"/>
  </x:cols>
  <x:sheetData>
    <x:row r="1">
      <x:c r="A1" s="5" t="str">
        <x:v>Interest-Rate Scenario Analysis | Annual Interest Expense</x:v>
      </x:c>
      <x:c r="B1" s="5"/>
      <x:c r="C1" s="5"/>
      <x:c r="D1" s="5"/>
      <x:c r="E1" s="5"/>
      <x:c r="F1" s="5"/>
      <x:c r="G1" s="5"/>
      <x:c r="H1" s="5"/>
    </x:row>
    <x:row r="3">
      <x:c r="A3" s="13" t="str">
        <x:v>Strategy performance across SOFR shocks</x:v>
      </x:c>
      <x:c r="B3" s="13"/>
      <x:c r="C3" s="13"/>
      <x:c r="D3" s="13"/>
      <x:c r="E3" s="13"/>
      <x:c r="F3" s="13"/>
      <x:c r="G3" s="13"/>
      <x:c r="H3" s="13"/>
    </x:row>
    <x:row r="4">
      <x:c r="A4" s="21" t="str">
        <x:v>SOFR</x:v>
      </x:c>
      <x:c r="B4" s="21" t="str">
        <x:v>Unhedged ($mm)</x:v>
      </x:c>
      <x:c r="C4" s="21" t="str">
        <x:v>75% Swap ($mm)</x:v>
      </x:c>
      <x:c r="D4" s="21" t="str">
        <x:v>75% Cap ($mm)</x:v>
      </x:c>
      <x:c r="E4" s="21" t="str">
        <x:v>Recommended Blend ($mm)</x:v>
      </x:c>
      <x:c r="F4" s="21" t="str">
        <x:v>Blend Savings vs Unhedged</x:v>
      </x:c>
      <x:c r="G4" s="21" t="str">
        <x:v>Blend Interest Coverage</x:v>
      </x:c>
      <x:c r="H4" s="21" t="str">
        <x:v>Budget Breach?</x:v>
      </x:c>
    </x:row>
    <x:row r="5">
      <x:c r="A5" s="54" t="n">
        <x:v>0.025</x:v>
      </x:c>
      <x:c r="B5" s="70" t="n">
        <x:f>'Assumptions'!$B$6*(A5+'Assumptions'!$B$8)</x:f>
        <x:v>21.25</x:v>
      </x:c>
      <x:c r="C5" s="70" t="n">
        <x:f>'Assumptions'!$B$6*(0.75*('Assumptions'!$B$10+'Assumptions'!$B$8)+0.25*(A5+'Assumptions'!$B$8))</x:f>
        <x:v>28.375</x:v>
      </x:c>
      <x:c r="D5" s="70" t="n">
        <x:f>'Assumptions'!$B$6*(0.75*(MIN(A5,'Assumptions'!$B$11)+'Assumptions'!$B$8)+0.25*(A5+'Assumptions'!$B$8))+'Assumptions'!$B$6*0.75*'Assumptions'!$B$12</x:f>
        <x:v>22.9375</x:v>
      </x:c>
      <x:c r="E5" s="70" t="n">
        <x:f>'Assumptions'!$B$6*('Assumptions'!$B$13*('Assumptions'!$B$10+'Assumptions'!$B$8)+'Assumptions'!$B$14*(MIN(A5,'Assumptions'!$B$11)+'Assumptions'!$B$8)+'Assumptions'!$B$15*(A5+'Assumptions'!$B$8))+'Assumptions'!$B$6*'Assumptions'!$B$14*'Assumptions'!$B$12</x:f>
        <x:v>26.562500000000004</x:v>
      </x:c>
      <x:c r="F5" s="70" t="n">
        <x:f>B5-E5</x:f>
        <x:v>-5.3125000000000036</x:v>
      </x:c>
      <x:c r="G5" s="100" t="n">
        <x:f>'Assumptions'!$B$17/E5</x:f>
        <x:v>6.776470588235293</x:v>
      </x:c>
      <x:c r="H5" s="28" t="str">
        <x:f>IF(E5&gt;'Assumptions'!$B$18,"YES","NO")</x:f>
        <x:v>NO</x:v>
      </x:c>
    </x:row>
    <x:row r="6">
      <x:c r="A6" s="54" t="n">
        <x:v>0.03</x:v>
      </x:c>
      <x:c r="B6" s="70" t="n">
        <x:f>'Assumptions'!$B$6*(A6+'Assumptions'!$B$8)</x:f>
        <x:v>23.75</x:v>
      </x:c>
      <x:c r="C6" s="70" t="n">
        <x:f>'Assumptions'!$B$6*(0.75*('Assumptions'!$B$10+'Assumptions'!$B$8)+0.25*(A6+'Assumptions'!$B$8))</x:f>
        <x:v>28.999999999999996</x:v>
      </x:c>
      <x:c r="D6" s="70" t="n">
        <x:f>'Assumptions'!$B$6*(0.75*(MIN(A6,'Assumptions'!$B$11)+'Assumptions'!$B$8)+0.25*(A6+'Assumptions'!$B$8))+'Assumptions'!$B$6*0.75*'Assumptions'!$B$12</x:f>
        <x:v>25.4375</x:v>
      </x:c>
      <x:c r="E6" s="70" t="n">
        <x:f>'Assumptions'!$B$6*('Assumptions'!$B$13*('Assumptions'!$B$10+'Assumptions'!$B$8)+'Assumptions'!$B$14*(MIN(A6,'Assumptions'!$B$11)+'Assumptions'!$B$8)+'Assumptions'!$B$15*(A6+'Assumptions'!$B$8))+'Assumptions'!$B$6*'Assumptions'!$B$14*'Assumptions'!$B$12</x:f>
        <x:v>27.812499999999996</x:v>
      </x:c>
      <x:c r="F6" s="70" t="n">
        <x:f>B6-E6</x:f>
        <x:v>-4.0624999999999964</x:v>
      </x:c>
      <x:c r="G6" s="100" t="n">
        <x:f>'Assumptions'!$B$17/E6</x:f>
        <x:v>6.471910112359551</x:v>
      </x:c>
      <x:c r="H6" s="28" t="str">
        <x:f>IF(E6&gt;'Assumptions'!$B$18,"YES","NO")</x:f>
        <x:v>NO</x:v>
      </x:c>
    </x:row>
    <x:row r="7">
      <x:c r="A7" s="54" t="n">
        <x:v>0.035</x:v>
      </x:c>
      <x:c r="B7" s="70" t="n">
        <x:f>'Assumptions'!$B$6*(A7+'Assumptions'!$B$8)</x:f>
        <x:v>26.250000000000004</x:v>
      </x:c>
      <x:c r="C7" s="70" t="n">
        <x:f>'Assumptions'!$B$6*(0.75*('Assumptions'!$B$10+'Assumptions'!$B$8)+0.25*(A7+'Assumptions'!$B$8))</x:f>
        <x:v>29.625</x:v>
      </x:c>
      <x:c r="D7" s="70" t="n">
        <x:f>'Assumptions'!$B$6*(0.75*(MIN(A7,'Assumptions'!$B$11)+'Assumptions'!$B$8)+0.25*(A7+'Assumptions'!$B$8))+'Assumptions'!$B$6*0.75*'Assumptions'!$B$12</x:f>
        <x:v>27.937500000000004</x:v>
      </x:c>
      <x:c r="E7" s="70" t="n">
        <x:f>'Assumptions'!$B$6*('Assumptions'!$B$13*('Assumptions'!$B$10+'Assumptions'!$B$8)+'Assumptions'!$B$14*(MIN(A7,'Assumptions'!$B$11)+'Assumptions'!$B$8)+'Assumptions'!$B$15*(A7+'Assumptions'!$B$8))+'Assumptions'!$B$6*'Assumptions'!$B$14*'Assumptions'!$B$12</x:f>
        <x:v>29.062499999999996</x:v>
      </x:c>
      <x:c r="F7" s="70" t="n">
        <x:f>B7-E7</x:f>
        <x:v>-2.812499999999993</x:v>
      </x:c>
      <x:c r="G7" s="100" t="n">
        <x:f>'Assumptions'!$B$17/E7</x:f>
        <x:v>6.193548387096775</x:v>
      </x:c>
      <x:c r="H7" s="28" t="str">
        <x:f>IF(E7&gt;'Assumptions'!$B$18,"YES","NO")</x:f>
        <x:v>NO</x:v>
      </x:c>
    </x:row>
    <x:row r="8">
      <x:c r="A8" s="54" t="n">
        <x:v>0.039</x:v>
      </x:c>
      <x:c r="B8" s="70" t="n">
        <x:f>'Assumptions'!$B$6*(A8+'Assumptions'!$B$8)</x:f>
        <x:v>28.25</x:v>
      </x:c>
      <x:c r="C8" s="70" t="n">
        <x:f>'Assumptions'!$B$6*(0.75*('Assumptions'!$B$10+'Assumptions'!$B$8)+0.25*(A8+'Assumptions'!$B$8))</x:f>
        <x:v>30.125</x:v>
      </x:c>
      <x:c r="D8" s="70" t="n">
        <x:f>'Assumptions'!$B$6*(0.75*(MIN(A8,'Assumptions'!$B$11)+'Assumptions'!$B$8)+0.25*(A8+'Assumptions'!$B$8))+'Assumptions'!$B$6*0.75*'Assumptions'!$B$12</x:f>
        <x:v>29.9375</x:v>
      </x:c>
      <x:c r="E8" s="70" t="n">
        <x:f>'Assumptions'!$B$6*('Assumptions'!$B$13*('Assumptions'!$B$10+'Assumptions'!$B$8)+'Assumptions'!$B$14*(MIN(A8,'Assumptions'!$B$11)+'Assumptions'!$B$8)+'Assumptions'!$B$15*(A8+'Assumptions'!$B$8))+'Assumptions'!$B$6*'Assumptions'!$B$14*'Assumptions'!$B$12</x:f>
        <x:v>30.0625</x:v>
      </x:c>
      <x:c r="F8" s="70" t="n">
        <x:f>B8-E8</x:f>
        <x:v>-1.8125</x:v>
      </x:c>
      <x:c r="G8" s="100" t="n">
        <x:f>'Assumptions'!$B$17/E8</x:f>
        <x:v>5.987525987525988</x:v>
      </x:c>
      <x:c r="H8" s="28" t="str">
        <x:f>IF(E8&gt;'Assumptions'!$B$18,"YES","NO")</x:f>
        <x:v>NO</x:v>
      </x:c>
    </x:row>
    <x:row r="9">
      <x:c r="A9" s="54" t="n">
        <x:v>0.0425</x:v>
      </x:c>
      <x:c r="B9" s="70" t="n">
        <x:f>'Assumptions'!$B$6*(A9+'Assumptions'!$B$8)</x:f>
        <x:v>30.000000000000004</x:v>
      </x:c>
      <x:c r="C9" s="70" t="n">
        <x:f>'Assumptions'!$B$6*(0.75*('Assumptions'!$B$10+'Assumptions'!$B$8)+0.25*(A9+'Assumptions'!$B$8))</x:f>
        <x:v>30.5625</x:v>
      </x:c>
      <x:c r="D9" s="70" t="n">
        <x:f>'Assumptions'!$B$6*(0.75*(MIN(A9,'Assumptions'!$B$11)+'Assumptions'!$B$8)+0.25*(A9+'Assumptions'!$B$8))+'Assumptions'!$B$6*0.75*'Assumptions'!$B$12</x:f>
        <x:v>31.687500000000004</x:v>
      </x:c>
      <x:c r="E9" s="70" t="n">
        <x:f>'Assumptions'!$B$6*('Assumptions'!$B$13*('Assumptions'!$B$10+'Assumptions'!$B$8)+'Assumptions'!$B$14*(MIN(A9,'Assumptions'!$B$11)+'Assumptions'!$B$8)+'Assumptions'!$B$15*(A9+'Assumptions'!$B$8))+'Assumptions'!$B$6*'Assumptions'!$B$14*'Assumptions'!$B$12</x:f>
        <x:v>30.9375</x:v>
      </x:c>
      <x:c r="F9" s="70" t="n">
        <x:f>B9-E9</x:f>
        <x:v>-0.9374999999999964</x:v>
      </x:c>
      <x:c r="G9" s="100" t="n">
        <x:f>'Assumptions'!$B$17/E9</x:f>
        <x:v>5.818181818181818</x:v>
      </x:c>
      <x:c r="H9" s="28" t="str">
        <x:f>IF(E9&gt;'Assumptions'!$B$18,"YES","NO")</x:f>
        <x:v>NO</x:v>
      </x:c>
    </x:row>
    <x:row r="10">
      <x:c r="A10" s="54" t="n">
        <x:v>0.045</x:v>
      </x:c>
      <x:c r="B10" s="70" t="n">
        <x:f>'Assumptions'!$B$6*(A10+'Assumptions'!$B$8)</x:f>
        <x:v>31.25</x:v>
      </x:c>
      <x:c r="C10" s="70" t="n">
        <x:f>'Assumptions'!$B$6*(0.75*('Assumptions'!$B$10+'Assumptions'!$B$8)+0.25*(A10+'Assumptions'!$B$8))</x:f>
        <x:v>30.875</x:v>
      </x:c>
      <x:c r="D10" s="70" t="n">
        <x:f>'Assumptions'!$B$6*(0.75*(MIN(A10,'Assumptions'!$B$11)+'Assumptions'!$B$8)+0.25*(A10+'Assumptions'!$B$8))+'Assumptions'!$B$6*0.75*'Assumptions'!$B$12</x:f>
        <x:v>32</x:v>
      </x:c>
      <x:c r="E10" s="70" t="n">
        <x:f>'Assumptions'!$B$6*('Assumptions'!$B$13*('Assumptions'!$B$10+'Assumptions'!$B$8)+'Assumptions'!$B$14*(MIN(A10,'Assumptions'!$B$11)+'Assumptions'!$B$8)+'Assumptions'!$B$15*(A10+'Assumptions'!$B$8))+'Assumptions'!$B$6*'Assumptions'!$B$14*'Assumptions'!$B$12</x:f>
        <x:v>31.25</x:v>
      </x:c>
      <x:c r="F10" s="70" t="n">
        <x:f>B10-E10</x:f>
        <x:v>0</x:v>
      </x:c>
      <x:c r="G10" s="100" t="n">
        <x:f>'Assumptions'!$B$17/E10</x:f>
        <x:v>5.76</x:v>
      </x:c>
      <x:c r="H10" s="28" t="str">
        <x:f>IF(E10&gt;'Assumptions'!$B$18,"YES","NO")</x:f>
        <x:v>NO</x:v>
      </x:c>
    </x:row>
    <x:row r="11">
      <x:c r="A11" s="54" t="n">
        <x:v>0.05</x:v>
      </x:c>
      <x:c r="B11" s="70" t="n">
        <x:f>'Assumptions'!$B$6*(A11+'Assumptions'!$B$8)</x:f>
        <x:v>33.75</x:v>
      </x:c>
      <x:c r="C11" s="70" t="n">
        <x:f>'Assumptions'!$B$6*(0.75*('Assumptions'!$B$10+'Assumptions'!$B$8)+0.25*(A11+'Assumptions'!$B$8))</x:f>
        <x:v>31.5</x:v>
      </x:c>
      <x:c r="D11" s="70" t="n">
        <x:f>'Assumptions'!$B$6*(0.75*(MIN(A11,'Assumptions'!$B$11)+'Assumptions'!$B$8)+0.25*(A11+'Assumptions'!$B$8))+'Assumptions'!$B$6*0.75*'Assumptions'!$B$12</x:f>
        <x:v>32.625</x:v>
      </x:c>
      <x:c r="E11" s="70" t="n">
        <x:f>'Assumptions'!$B$6*('Assumptions'!$B$13*('Assumptions'!$B$10+'Assumptions'!$B$8)+'Assumptions'!$B$14*(MIN(A11,'Assumptions'!$B$11)+'Assumptions'!$B$8)+'Assumptions'!$B$15*(A11+'Assumptions'!$B$8))+'Assumptions'!$B$6*'Assumptions'!$B$14*'Assumptions'!$B$12</x:f>
        <x:v>31.875</x:v>
      </x:c>
      <x:c r="F11" s="70" t="n">
        <x:f>B11-E11</x:f>
        <x:v>1.875</x:v>
      </x:c>
      <x:c r="G11" s="100" t="n">
        <x:f>'Assumptions'!$B$17/E11</x:f>
        <x:v>5.647058823529412</x:v>
      </x:c>
      <x:c r="H11" s="28" t="str">
        <x:f>IF(E11&gt;'Assumptions'!$B$18,"YES","NO")</x:f>
        <x:v>NO</x:v>
      </x:c>
    </x:row>
    <x:row r="12">
      <x:c r="A12" s="54" t="n">
        <x:v>0.055</x:v>
      </x:c>
      <x:c r="B12" s="70" t="n">
        <x:f>'Assumptions'!$B$6*(A12+'Assumptions'!$B$8)</x:f>
        <x:v>36.25000000000001</x:v>
      </x:c>
      <x:c r="C12" s="70" t="n">
        <x:f>'Assumptions'!$B$6*(0.75*('Assumptions'!$B$10+'Assumptions'!$B$8)+0.25*(A12+'Assumptions'!$B$8))</x:f>
        <x:v>32.125</x:v>
      </x:c>
      <x:c r="D12" s="70" t="n">
        <x:f>'Assumptions'!$B$6*(0.75*(MIN(A12,'Assumptions'!$B$11)+'Assumptions'!$B$8)+0.25*(A12+'Assumptions'!$B$8))+'Assumptions'!$B$6*0.75*'Assumptions'!$B$12</x:f>
        <x:v>33.25000000000001</x:v>
      </x:c>
      <x:c r="E12" s="70" t="n">
        <x:f>'Assumptions'!$B$6*('Assumptions'!$B$13*('Assumptions'!$B$10+'Assumptions'!$B$8)+'Assumptions'!$B$14*(MIN(A12,'Assumptions'!$B$11)+'Assumptions'!$B$8)+'Assumptions'!$B$15*(A12+'Assumptions'!$B$8))+'Assumptions'!$B$6*'Assumptions'!$B$14*'Assumptions'!$B$12</x:f>
        <x:v>32.5</x:v>
      </x:c>
      <x:c r="F12" s="70" t="n">
        <x:f>B12-E12</x:f>
        <x:v>3.750000000000007</x:v>
      </x:c>
      <x:c r="G12" s="100" t="n">
        <x:f>'Assumptions'!$B$17/E12</x:f>
        <x:v>5.538461538461538</x:v>
      </x:c>
      <x:c r="H12" s="28" t="str">
        <x:f>IF(E12&gt;'Assumptions'!$B$18,"YES","NO")</x:f>
        <x:v>NO</x:v>
      </x:c>
    </x:row>
    <x:row r="13">
      <x:c r="A13" s="54" t="n">
        <x:v>0.06</x:v>
      </x:c>
      <x:c r="B13" s="70" t="n">
        <x:f>'Assumptions'!$B$6*(A13+'Assumptions'!$B$8)</x:f>
        <x:v>38.75</x:v>
      </x:c>
      <x:c r="C13" s="70" t="n">
        <x:f>'Assumptions'!$B$6*(0.75*('Assumptions'!$B$10+'Assumptions'!$B$8)+0.25*(A13+'Assumptions'!$B$8))</x:f>
        <x:v>32.75</x:v>
      </x:c>
      <x:c r="D13" s="70" t="n">
        <x:f>'Assumptions'!$B$6*(0.75*(MIN(A13,'Assumptions'!$B$11)+'Assumptions'!$B$8)+0.25*(A13+'Assumptions'!$B$8))+'Assumptions'!$B$6*0.75*'Assumptions'!$B$12</x:f>
        <x:v>33.875</x:v>
      </x:c>
      <x:c r="E13" s="70" t="n">
        <x:f>'Assumptions'!$B$6*('Assumptions'!$B$13*('Assumptions'!$B$10+'Assumptions'!$B$8)+'Assumptions'!$B$14*(MIN(A13,'Assumptions'!$B$11)+'Assumptions'!$B$8)+'Assumptions'!$B$15*(A13+'Assumptions'!$B$8))+'Assumptions'!$B$6*'Assumptions'!$B$14*'Assumptions'!$B$12</x:f>
        <x:v>33.125</x:v>
      </x:c>
      <x:c r="F13" s="70" t="n">
        <x:f>B13-E13</x:f>
        <x:v>5.625</x:v>
      </x:c>
      <x:c r="G13" s="100" t="n">
        <x:f>'Assumptions'!$B$17/E13</x:f>
        <x:v>5.433962264150943</x:v>
      </x:c>
      <x:c r="H13" s="28" t="str">
        <x:f>IF(E13&gt;'Assumptions'!$B$18,"YES","NO")</x:f>
        <x:v>NO</x:v>
      </x:c>
    </x:row>
  </x:sheetData>
  <x:mergeCells>
    <x:mergeCell ref="A1:H1"/>
    <x:mergeCell ref="A3:H3"/>
  </x:mergeCells>
  <x:conditionalFormatting sqref="H5:H13">
    <x:cfRule type="expression" dxfId="0" priority="1">
      <x:formula>H5="YES"</x:formula>
    </x:cfRule>
    <x:cfRule type="expression" dxfId="1" priority="2">
      <x:formula>H5="NO"</x:formula>
    </x:cfRule>
  </x:conditionalFormatting>
  <x:pageMargins left="0.7" right="0.7" top="0.75" bottom="0.75" header="0.3" footer="0.3"/>
  <x:drawing xmlns:r="http://schemas.openxmlformats.org/officeDocument/2006/relationships" r:id="R0f356dc51de04e89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3" max="3" width="28" hidden="0" customWidth="1"/>
    <x:col min="4" max="4" width="16" hidden="0" customWidth="1"/>
    <x:col min="5" max="5" width="20" hidden="0" customWidth="1"/>
    <x:col min="6" max="6" width="28" hidden="0" customWidth="1"/>
    <x:col min="7" max="7" width="12" hidden="0" customWidth="1"/>
  </x:cols>
  <x:sheetData>
    <x:row r="1">
      <x:c r="A1" s="56" t="str">
        <x:v>Risk, Credit &amp; Hedging Metrics</x:v>
      </x:c>
      <x:c r="B1" s="56"/>
      <x:c r="C1" s="56"/>
      <x:c r="D1" s="56"/>
      <x:c r="E1" s="56"/>
      <x:c r="F1" s="56"/>
      <x:c r="G1" s="56"/>
    </x:row>
    <x:row r="2">
      <x:c r="A2" s="41"/>
      <x:c r="B2" s="41"/>
      <x:c r="C2" s="41"/>
      <x:c r="D2" s="41"/>
      <x:c r="E2" s="41"/>
      <x:c r="F2" s="41"/>
      <x:c r="G2" s="41"/>
    </x:row>
    <x:row r="3">
      <x:c r="A3" s="57" t="str">
        <x:v>Current-state interest-rate risk</x:v>
      </x:c>
      <x:c r="B3" s="57"/>
      <x:c r="C3" s="57"/>
      <x:c r="D3" s="57"/>
      <x:c r="E3" s="57"/>
      <x:c r="F3" s="57"/>
      <x:c r="G3" s="57"/>
    </x:row>
    <x:row r="4">
      <x:c r="A4" s="40" t="str">
        <x:v>Metric</x:v>
      </x:c>
      <x:c r="B4" s="40" t="str">
        <x:v>Unhedged</x:v>
      </x:c>
      <x:c r="C4" s="40" t="str">
        <x:v>75% Swap</x:v>
      </x:c>
      <x:c r="D4" s="40" t="str">
        <x:v>75% Cap</x:v>
      </x:c>
      <x:c r="E4" s="40" t="str">
        <x:v>Recommended Blend</x:v>
      </x:c>
      <x:c r="F4" s="40" t="str">
        <x:v>Interpretation</x:v>
      </x:c>
      <x:c r="G4" s="40" t="str"/>
    </x:row>
    <x:row r="5">
      <x:c r="A5" s="41" t="str">
        <x:v>Annual interest @ base SOFR</x:v>
      </x:c>
      <x:c r="B5" s="102" t="n">
        <x:f>'Scenario Analysis'!B8</x:f>
        <x:v>28.25</x:v>
      </x:c>
      <x:c r="C5" s="102" t="n">
        <x:f>'Scenario Analysis'!C8</x:f>
        <x:v>30.125</x:v>
      </x:c>
      <x:c r="D5" s="102" t="n">
        <x:f>'Scenario Analysis'!D8</x:f>
        <x:v>29.9375</x:v>
      </x:c>
      <x:c r="E5" s="102" t="n">
        <x:f>'Scenario Analysis'!E8</x:f>
        <x:v>30.0625</x:v>
      </x:c>
      <x:c r="F5" s="41" t="str">
        <x:v>Cash interest at 3.90% SOFR</x:v>
      </x:c>
      <x:c r="G5" s="41" t="str"/>
    </x:row>
    <x:row r="6">
      <x:c r="A6" s="41" t="str">
        <x:v>1 bp annual interest sensitivity @ base</x:v>
      </x:c>
      <x:c r="B6" s="103" t="n">
        <x:f>'Assumptions'!$B$6*0.0001</x:f>
        <x:v>0.05</x:v>
      </x:c>
      <x:c r="C6" s="103" t="n">
        <x:f>'Assumptions'!$B$6*0.25*0.0001</x:f>
        <x:v>0.0125</x:v>
      </x:c>
      <x:c r="D6" s="103" t="n">
        <x:f>'Assumptions'!$B$6*0.0001</x:f>
        <x:v>0.05</x:v>
      </x:c>
      <x:c r="E6" s="103" t="n">
        <x:f>'Assumptions'!$B$6*('Assumptions'!$B$14+'Assumptions'!$B$15)*0.0001</x:f>
        <x:v>0.025</x:v>
      </x:c>
      <x:c r="F6" s="41" t="str">
        <x:v>Approximate first-order sensitivity before cap strike</x:v>
      </x:c>
      <x:c r="G6" s="41" t="str"/>
    </x:row>
    <x:row r="7">
      <x:c r="A7" s="41" t="str">
        <x:v>Annual interest @ 6.00% SOFR</x:v>
      </x:c>
      <x:c r="B7" s="102" t="n">
        <x:f>'Scenario Analysis'!B13</x:f>
        <x:v>38.75</x:v>
      </x:c>
      <x:c r="C7" s="102" t="n">
        <x:f>'Scenario Analysis'!C13</x:f>
        <x:v>32.75</x:v>
      </x:c>
      <x:c r="D7" s="102" t="n">
        <x:f>'Scenario Analysis'!D13</x:f>
        <x:v>33.875</x:v>
      </x:c>
      <x:c r="E7" s="102" t="n">
        <x:f>'Scenario Analysis'!E13</x:f>
        <x:v>33.125</x:v>
      </x:c>
      <x:c r="F7" s="41" t="str">
        <x:v>Severe higher-rate scenario</x:v>
      </x:c>
      <x:c r="G7" s="41" t="str"/>
    </x:row>
    <x:row r="8">
      <x:c r="A8" s="41" t="str">
        <x:v>EBITDA interest coverage @ 6.00%</x:v>
      </x:c>
      <x:c r="B8" s="104" t="n">
        <x:f>'Assumptions'!$B$17/B7</x:f>
        <x:v>4.645161290322581</x:v>
      </x:c>
      <x:c r="C8" s="104" t="n">
        <x:f>'Assumptions'!$B$17/C7</x:f>
        <x:v>5.4961832061068705</x:v>
      </x:c>
      <x:c r="D8" s="104" t="n">
        <x:f>'Assumptions'!$B$17/D7</x:f>
        <x:v>5.313653136531365</x:v>
      </x:c>
      <x:c r="E8" s="104" t="n">
        <x:f>'Assumptions'!$B$17/E7</x:f>
        <x:v>5.433962264150943</x:v>
      </x:c>
      <x:c r="F8" s="41" t="str">
        <x:v>EBITDA / cash interest</x:v>
      </x:c>
      <x:c r="G8" s="41" t="str"/>
    </x:row>
    <x:row r="9">
      <x:c r="A9" s="41" t="str">
        <x:v>Budget headroom @ 6.00%</x:v>
      </x:c>
      <x:c r="B9" s="102" t="n">
        <x:f>'Assumptions'!$B$18-B7</x:f>
        <x:v>-4.75</x:v>
      </x:c>
      <x:c r="C9" s="102" t="n">
        <x:f>'Assumptions'!$B$18-C7</x:f>
        <x:v>1.25</x:v>
      </x:c>
      <x:c r="D9" s="102" t="n">
        <x:f>'Assumptions'!$B$18-D7</x:f>
        <x:v>0.125</x:v>
      </x:c>
      <x:c r="E9" s="102" t="n">
        <x:f>'Assumptions'!$B$18-E7</x:f>
        <x:v>0.875</x:v>
      </x:c>
      <x:c r="F9" s="41" t="str">
        <x:v>$34mm ceiling less interest</x:v>
      </x:c>
      <x:c r="G9" s="41" t="str"/>
    </x:row>
    <x:row r="10">
      <x:c r="A10" s="41" t="str">
        <x:v>Maximum rate-protected debt</x:v>
      </x:c>
      <x:c r="B10" s="82" t="n">
        <x:v>0</x:v>
      </x:c>
      <x:c r="C10" s="82" t="n">
        <x:v>0.75</x:v>
      </x:c>
      <x:c r="D10" s="82" t="n">
        <x:v>0.75</x:v>
      </x:c>
      <x:c r="E10" s="82" t="n">
        <x:v>0.75</x:v>
      </x:c>
      <x:c r="F10" s="41" t="str">
        <x:v>Portion with swap/cap protection</x:v>
      </x:c>
      <x:c r="G10" s="41" t="str"/>
    </x:row>
    <x:row r="11">
      <x:c r="A11" s="41"/>
      <x:c r="B11" s="41"/>
      <x:c r="C11" s="41"/>
      <x:c r="D11" s="41"/>
      <x:c r="E11" s="41"/>
      <x:c r="F11" s="41"/>
      <x:c r="G11" s="41"/>
    </x:row>
    <x:row r="12">
      <x:c r="A12" s="57" t="str">
        <x:v>Key Risk Considerations</x:v>
      </x:c>
      <x:c r="B12" s="57"/>
      <x:c r="C12" s="57"/>
      <x:c r="D12" s="57"/>
      <x:c r="E12" s="57"/>
      <x:c r="F12" s="57"/>
      <x:c r="G12" s="57"/>
    </x:row>
    <x:row r="13">
      <x:c r="A13" s="40" t="str">
        <x:v>Risk</x:v>
      </x:c>
      <x:c r="B13" s="40" t="str">
        <x:v>Why it matters</x:v>
      </x:c>
      <x:c r="C13" s="40" t="str">
        <x:v>Mitigant / Next step</x:v>
      </x:c>
      <x:c r="D13" s="41" t="str"/>
      <x:c r="E13" s="41" t="str"/>
      <x:c r="F13" s="41" t="str"/>
      <x:c r="G13" s="41" t="str"/>
    </x:row>
    <x:row r="14">
      <x:c r="A14" s="41" t="str">
        <x:v>Basis risk</x:v>
      </x:c>
      <x:c r="B14" s="41" t="str">
        <x:v>Debt index and hedge floating leg must align.</x:v>
      </x:c>
      <x:c r="C14" s="41" t="str">
        <x:v>Confirm debt documentation and swap index/reset conventions before execution.</x:v>
      </x:c>
      <x:c r="D14" s="41" t="str"/>
      <x:c r="E14" s="41" t="str"/>
      <x:c r="F14" s="41" t="str"/>
      <x:c r="G14" s="41" t="str"/>
    </x:row>
    <x:row r="15">
      <x:c r="A15" s="41" t="str">
        <x:v>Counterparty / credit risk</x:v>
      </x:c>
      <x:c r="B15" s="41" t="str">
        <x:v>Derivatives create bilateral exposure and documentation requirements.</x:v>
      </x:c>
      <x:c r="C15" s="41" t="str">
        <x:v>Coordinate with Credit; set limits; execute under appropriate ISDA/CSA framework.</x:v>
      </x:c>
      <x:c r="D15" s="41" t="str"/>
      <x:c r="E15" s="41" t="str"/>
      <x:c r="F15" s="41" t="str"/>
      <x:c r="G15" s="41" t="str"/>
    </x:row>
    <x:row r="16">
      <x:c r="A16" s="41" t="str">
        <x:v>Liquidity / termination risk</x:v>
      </x:c>
      <x:c r="B16" s="41" t="str">
        <x:v>Early unwind can create mark-to-market cash cost.</x:v>
      </x:c>
      <x:c r="C16" s="41" t="str">
        <x:v>Size hedge to expected debt life; evaluate breakage under refinancing/downside cases.</x:v>
      </x:c>
      <x:c r="D16" s="41" t="str"/>
      <x:c r="E16" s="41" t="str"/>
      <x:c r="F16" s="41" t="str"/>
      <x:c r="G16" s="41" t="str"/>
    </x:row>
    <x:row r="17">
      <x:c r="A17" s="41" t="str">
        <x:v>Accounting risk</x:v>
      </x:c>
      <x:c r="B17" s="41" t="str">
        <x:v>Hedge-accounting treatment can affect earnings volatility.</x:v>
      </x:c>
      <x:c r="C17" s="41" t="str">
        <x:v>Engage Accounting before execution; confirm documentation and effectiveness requirements.</x:v>
      </x:c>
      <x:c r="D17" s="41" t="str"/>
      <x:c r="E17" s="41" t="str"/>
      <x:c r="F17" s="41" t="str"/>
      <x:c r="G17" s="41" t="str"/>
    </x:row>
    <x:row r="18">
      <x:c r="A18" s="41" t="str">
        <x:v>Opportunity cost</x:v>
      </x:c>
      <x:c r="B18" s="41" t="str">
        <x:v>Fixed hedges can underperform if rates decline materially.</x:v>
      </x:c>
      <x:c r="C18" s="41" t="str">
        <x:v>Use partial hedge and cap component to preserve participation in lower rates.</x:v>
      </x:c>
      <x:c r="D18" s="41" t="str"/>
      <x:c r="E18" s="41" t="str"/>
      <x:c r="F18" s="41" t="str"/>
      <x:c r="G18" s="41" t="str"/>
    </x:row>
    <x:row r="19">
      <x:c r="A19" s="41"/>
      <x:c r="B19" s="41"/>
      <x:c r="C19" s="41"/>
      <x:c r="D19" s="41"/>
      <x:c r="E19" s="41"/>
      <x:c r="F19" s="41"/>
      <x:c r="G19" s="41"/>
    </x:row>
    <x:row r="20">
      <x:c r="A20" s="41"/>
      <x:c r="B20" s="41"/>
      <x:c r="C20" s="41"/>
      <x:c r="D20" s="41"/>
      <x:c r="E20" s="41"/>
      <x:c r="F20" s="41"/>
      <x:c r="G20" s="41"/>
    </x:row>
  </x:sheetData>
  <x:mergeCells>
    <x:mergeCell ref="A1:G1"/>
    <x:mergeCell ref="A3:G3"/>
    <x:mergeCell ref="A12:G12"/>
    <x:mergeCell ref="C14:G14"/>
    <x:mergeCell ref="C15:G15"/>
    <x:mergeCell ref="C16:G16"/>
    <x:mergeCell ref="C17:G17"/>
    <x:mergeCell ref="C18:G18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2" hidden="0" customWidth="1"/>
    <x:col min="3" max="3" width="65" hidden="0" customWidth="1"/>
    <x:col min="4" max="4" width="45" hidden="0" customWidth="1"/>
  </x:cols>
  <x:sheetData>
    <x:row r="1">
      <x:c r="A1" s="56" t="str">
        <x:v>Sources, Methodology &amp; Disclosures</x:v>
      </x:c>
      <x:c r="B1" s="56"/>
      <x:c r="C1" s="56"/>
      <x:c r="D1" s="56"/>
    </x:row>
    <x:row r="2">
      <x:c r="A2" s="41"/>
      <x:c r="B2" s="41"/>
      <x:c r="C2" s="41"/>
      <x:c r="D2" s="41"/>
    </x:row>
    <x:row r="3">
      <x:c r="A3" s="40" t="str">
        <x:v>Item</x:v>
      </x:c>
      <x:c r="B3" s="40" t="str">
        <x:v>Source</x:v>
      </x:c>
      <x:c r="C3" s="40" t="str">
        <x:v>URL</x:v>
      </x:c>
      <x:c r="D3" s="40" t="str">
        <x:v>Use in project</x:v>
      </x:c>
    </x:row>
    <x:row r="4">
      <x:c r="A4" s="41" t="str">
        <x:v>U.S. Treasury Par Yield Curve</x:v>
      </x:c>
      <x:c r="B4" s="41" t="str">
        <x:v>U.S. Department of the Treasury</x:v>
      </x:c>
      <x:c r="C4" s="41" t="str">
        <x:v>https://home.treasury.gov/resource-center/data-chart-center/interest-rates/TextView?field_tdr_date_value_month=202609&amp;type=daily_treasury_yield_curve</x:v>
      </x:c>
      <x:c r="D4" s="41" t="str">
        <x:v>Market context; 9/22/2026 yields</x:v>
      </x:c>
    </x:row>
    <x:row r="5">
      <x:c r="A5" s="41" t="str">
        <x:v>SOFR definition / methodology</x:v>
      </x:c>
      <x:c r="B5" s="41" t="str">
        <x:v>Federal Reserve Bank of New York</x:v>
      </x:c>
      <x:c r="C5" s="41" t="str">
        <x:v>https://www.newyorkfed.org/markets/reference-rates/sofr</x:v>
      </x:c>
      <x:c r="D5" s="41" t="str">
        <x:v>Reference-rate definition and methodology context</x:v>
      </x:c>
    </x:row>
    <x:row r="6">
      <x:c r="A6" s="41" t="str">
        <x:v>Derivative pricing inputs</x:v>
      </x:c>
      <x:c r="B6" s="41" t="str">
        <x:v>Illustrative case assumptions</x:v>
      </x:c>
      <x:c r="C6" s="41" t="str"/>
      <x:c r="D6" s="41" t="str">
        <x:v>Swap rate, cap strike, and premium are synthetic and are not executable market quotes</x:v>
      </x:c>
    </x:row>
    <x:row r="7">
      <x:c r="A7" s="41" t="str">
        <x:v>Client financials</x:v>
      </x:c>
      <x:c r="B7" s="41" t="str">
        <x:v>Illustrative case assumptions</x:v>
      </x:c>
      <x:c r="C7" s="41" t="str"/>
      <x:c r="D7" s="41" t="str">
        <x:v>Synthetic borrower created solely for portfolio demonstration</x:v>
      </x:c>
    </x:row>
    <x:row r="8">
      <x:c r="A8" s="41"/>
      <x:c r="B8" s="41"/>
      <x:c r="C8" s="41"/>
      <x:c r="D8" s="41"/>
    </x:row>
    <x:row r="9">
      <x:c r="A9" s="57" t="str">
        <x:v>Methodology Notes</x:v>
      </x:c>
      <x:c r="B9" s="57"/>
      <x:c r="C9" s="57"/>
      <x:c r="D9" s="57"/>
    </x:row>
    <x:row r="10">
      <x:c r="A10" s="41" t="str">
        <x:v>1</x:v>
      </x:c>
      <x:c r="B10" s="41" t="str">
        <x:v>All dollar figures are $mm unless otherwise stated.</x:v>
      </x:c>
      <x:c r="C10" s="41" t="str"/>
      <x:c r="D10" s="41" t="str"/>
    </x:row>
    <x:row r="11">
      <x:c r="A11" s="41" t="str">
        <x:v>2</x:v>
      </x:c>
      <x:c r="B11" s="41" t="str">
        <x:v>Swap strategy assumes pay-fixed / receive-SOFR, economically converting the hedged debt portion to fixed benchmark exposure while retaining the loan credit spread.</x:v>
      </x:c>
      <x:c r="C11" s="41" t="str"/>
      <x:c r="D11" s="41" t="str"/>
    </x:row>
    <x:row r="12">
      <x:c r="A12" s="41" t="str">
        <x:v>3</x:v>
      </x:c>
      <x:c r="B12" s="41" t="str">
        <x:v>Cap strategy limits the benchmark rate on the hedged portion at the cap strike; premium is modeled as an annualized equivalent solely for comparability.</x:v>
      </x:c>
      <x:c r="C12" s="41" t="str"/>
      <x:c r="D12" s="41" t="str"/>
    </x:row>
    <x:row r="13">
      <x:c r="A13" s="41" t="str">
        <x:v>4</x:v>
      </x:c>
      <x:c r="B13" s="41" t="str">
        <x:v>Model excludes day-count conventions, discounting, collateral, CVA/FVA, bid-offer, breakage, taxes, and hedge-accounting effects. These would be required for executable pricing.</x:v>
      </x:c>
      <x:c r="C13" s="41" t="str"/>
      <x:c r="D13" s="41" t="str"/>
    </x:row>
    <x:row r="14">
      <x:c r="A14" s="41" t="str">
        <x:v>5</x:v>
      </x:c>
      <x:c r="B14" s="41" t="str">
        <x:v>This is an educational portfolio project and not investment, legal, tax, or accounting advice.</x:v>
      </x:c>
      <x:c r="C14" s="41" t="str"/>
      <x:c r="D14" s="41" t="str"/>
    </x:row>
    <x:row r="15">
      <x:c r="A15" s="41"/>
      <x:c r="B15" s="41"/>
      <x:c r="C15" s="41"/>
      <x:c r="D15" s="41"/>
    </x:row>
    <x:row r="16">
      <x:c r="A16" s="41"/>
      <x:c r="B16" s="41"/>
      <x:c r="C16" s="41"/>
      <x:c r="D16" s="41"/>
    </x:row>
  </x:sheetData>
  <x:mergeCells>
    <x:mergeCell ref="A1:D1"/>
    <x:mergeCell ref="A9:D9"/>
  </x:mergeCells>
  <x:pageMargins left="0.7" right="0.7" top="0.75" bottom="0.75" header="0.3" footer="0.3"/>
</x:worksheet>
</file>